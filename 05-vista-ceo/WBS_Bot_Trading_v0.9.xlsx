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COUNTIFS(TAREAS!$A$5:$A$81,"01.??.??")</f>
        <v/>
      </c>
      <c r="C4" s="5">
        <f>COUNTIFS(TAREAS!$A$5:$A$81,"01.??.??",TAREAS!$E$5:$E$81,"Hecha")</f>
        <v/>
      </c>
      <c r="D4" s="5">
        <f>COUNTIFS(TAREAS!$A$5:$A$81,"01.??.??",TAREAS!$E$5:$E$81,"En curso")</f>
        <v/>
      </c>
      <c r="E4" s="5">
        <f>COUNTIFS(TAREAS!$A$5:$A$81,"01.??.??",TAREAS!$E$5:$E$81,"Pendiente")</f>
        <v/>
      </c>
      <c r="F4" s="5">
        <f>COUNTIFS(TAREAS!$A$5:$A$81,"01.??.??",TAREAS!$E$5:$E$81,"Bloqueada")</f>
        <v/>
      </c>
      <c r="G4" s="6">
        <f>IFERROR(C4/B4,0)</f>
        <v/>
      </c>
    </row>
    <row r="5">
      <c r="A5" s="4" t="inlineStr">
        <is>
          <t>02. Elegir mercado y tamaño de vela</t>
        </is>
      </c>
      <c r="B5" s="5">
        <f>COUNTIFS(TAREAS!$A$5:$A$81,"02.??.??")</f>
        <v/>
      </c>
      <c r="C5" s="5">
        <f>COUNTIFS(TAREAS!$A$5:$A$81,"02.??.??",TAREAS!$E$5:$E$81,"Hecha")</f>
        <v/>
      </c>
      <c r="D5" s="5">
        <f>COUNTIFS(TAREAS!$A$5:$A$81,"02.??.??",TAREAS!$E$5:$E$81,"En curso")</f>
        <v/>
      </c>
      <c r="E5" s="5">
        <f>COUNTIFS(TAREAS!$A$5:$A$81,"02.??.??",TAREAS!$E$5:$E$81,"Pendiente")</f>
        <v/>
      </c>
      <c r="F5" s="5">
        <f>COUNTIFS(TAREAS!$A$5:$A$81,"02.??.??",TAREAS!$E$5:$E$81,"Bloqueada")</f>
        <v/>
      </c>
      <c r="G5" s="6">
        <f>IFERROR(C5/B5,0)</f>
        <v/>
      </c>
    </row>
    <row r="6">
      <c r="A6" s="4" t="inlineStr">
        <is>
          <t>03. Montar la casa</t>
        </is>
      </c>
      <c r="B6" s="5">
        <f>COUNTIFS(TAREAS!$A$5:$A$81,"03.??.??")</f>
        <v/>
      </c>
      <c r="C6" s="5">
        <f>COUNTIFS(TAREAS!$A$5:$A$81,"03.??.??",TAREAS!$E$5:$E$81,"Hecha")</f>
        <v/>
      </c>
      <c r="D6" s="5">
        <f>COUNTIFS(TAREAS!$A$5:$A$81,"03.??.??",TAREAS!$E$5:$E$81,"En curso")</f>
        <v/>
      </c>
      <c r="E6" s="5">
        <f>COUNTIFS(TAREAS!$A$5:$A$81,"03.??.??",TAREAS!$E$5:$E$81,"Pendiente")</f>
        <v/>
      </c>
      <c r="F6" s="5">
        <f>COUNTIFS(TAREAS!$A$5:$A$81,"03.??.??",TAREAS!$E$5:$E$81,"Bloqueada")</f>
        <v/>
      </c>
      <c r="G6" s="6">
        <f>IFERROR(C6/B6,0)</f>
        <v/>
      </c>
    </row>
    <row r="7">
      <c r="A7" s="4" t="inlineStr">
        <is>
          <t>04. Hipótesis y validación</t>
        </is>
      </c>
      <c r="B7" s="5">
        <f>COUNTIFS(TAREAS!$A$5:$A$81,"04.??.??")</f>
        <v/>
      </c>
      <c r="C7" s="5">
        <f>COUNTIFS(TAREAS!$A$5:$A$81,"04.??.??",TAREAS!$E$5:$E$81,"Hecha")</f>
        <v/>
      </c>
      <c r="D7" s="5">
        <f>COUNTIFS(TAREAS!$A$5:$A$81,"04.??.??",TAREAS!$E$5:$E$81,"En curso")</f>
        <v/>
      </c>
      <c r="E7" s="5">
        <f>COUNTIFS(TAREAS!$A$5:$A$81,"04.??.??",TAREAS!$E$5:$E$81,"Pendiente")</f>
        <v/>
      </c>
      <c r="F7" s="5">
        <f>COUNTIFS(TAREAS!$A$5:$A$81,"04.??.??",TAREAS!$E$5:$E$81,"Bloqueada")</f>
        <v/>
      </c>
      <c r="G7" s="6">
        <f>IFERROR(C7/B7,0)</f>
        <v/>
      </c>
    </row>
    <row r="8">
      <c r="A8" s="4" t="inlineStr">
        <is>
          <t>05. Demo</t>
        </is>
      </c>
      <c r="B8" s="5">
        <f>COUNTIFS(TAREAS!$A$5:$A$81,"05.??.??")</f>
        <v/>
      </c>
      <c r="C8" s="5">
        <f>COUNTIFS(TAREAS!$A$5:$A$81,"05.??.??",TAREAS!$E$5:$E$81,"Hecha")</f>
        <v/>
      </c>
      <c r="D8" s="5">
        <f>COUNTIFS(TAREAS!$A$5:$A$81,"05.??.??",TAREAS!$E$5:$E$81,"En curso")</f>
        <v/>
      </c>
      <c r="E8" s="5">
        <f>COUNTIFS(TAREAS!$A$5:$A$81,"05.??.??",TAREAS!$E$5:$E$81,"Pendiente")</f>
        <v/>
      </c>
      <c r="F8" s="5">
        <f>COUNTIFS(TAREAS!$A$5:$A$81,"05.??.??",TAREAS!$E$5:$E$81,"Bloqueada")</f>
        <v/>
      </c>
      <c r="G8" s="6">
        <f>IFERROR(C8/B8,0)</f>
        <v/>
      </c>
    </row>
    <row r="9">
      <c r="A9" s="4" t="inlineStr">
        <is>
          <t>06. Real</t>
        </is>
      </c>
      <c r="B9" s="5">
        <f>COUNTIFS(TAREAS!$A$5:$A$81,"06.??.??")</f>
        <v/>
      </c>
      <c r="C9" s="5">
        <f>COUNTIFS(TAREAS!$A$5:$A$81,"06.??.??",TAREAS!$E$5:$E$81,"Hecha")</f>
        <v/>
      </c>
      <c r="D9" s="5">
        <f>COUNTIFS(TAREAS!$A$5:$A$81,"06.??.??",TAREAS!$E$5:$E$81,"En curso")</f>
        <v/>
      </c>
      <c r="E9" s="5">
        <f>COUNTIFS(TAREAS!$A$5:$A$81,"06.??.??",TAREAS!$E$5:$E$81,"Pendiente")</f>
        <v/>
      </c>
      <c r="F9" s="5">
        <f>COUNTIFS(TAREAS!$A$5:$A$81,"06.??.??",TAREAS!$E$5:$E$81,"Bloqueada")</f>
        <v/>
      </c>
      <c r="G9" s="6">
        <f>IFERROR(C9/B9,0)</f>
        <v/>
      </c>
    </row>
    <row r="10">
      <c r="A10" s="4" t="inlineStr">
        <is>
          <t>07. Motor y orden</t>
        </is>
      </c>
      <c r="B10" s="5">
        <f>COUNTIFS(TAREAS!$A$5:$A$81,"07.??.??")</f>
        <v/>
      </c>
      <c r="C10" s="5">
        <f>COUNTIFS(TAREAS!$A$5:$A$81,"07.??.??",TAREAS!$E$5:$E$81,"Hecha")</f>
        <v/>
      </c>
      <c r="D10" s="5">
        <f>COUNTIFS(TAREAS!$A$5:$A$81,"07.??.??",TAREAS!$E$5:$E$81,"En curso")</f>
        <v/>
      </c>
      <c r="E10" s="5">
        <f>COUNTIFS(TAREAS!$A$5:$A$81,"07.??.??",TAREAS!$E$5:$E$81,"Pendiente")</f>
        <v/>
      </c>
      <c r="F10" s="5">
        <f>COUNTIFS(TAREAS!$A$5:$A$81,"07.??.??",TAREAS!$E$5:$E$81,"Bloqueada")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07.01.03</t>
        </is>
      </c>
      <c r="B18" s="4" t="inlineStr">
        <is>
          <t>NUEVA 03/08 (incidente de proceso): auditar todo lo escrito el 03/08/2026 entre las 21:44 y las 21:58 sin flujo de cuatro capas, y el residuo sin commitear del tramo anterior</t>
        </is>
      </c>
      <c r="C18" s="4" t="n"/>
      <c r="D18" s="4" t="n"/>
      <c r="E18" s="4" t="n"/>
      <c r="F18" s="4" t="n"/>
      <c r="G18" s="14" t="inlineStr">
        <is>
          <t>En curso</t>
        </is>
      </c>
    </row>
    <row r="20">
      <c r="A20" s="15" t="inlineStr">
        <is>
          <t>PROXIMA PUERTA</t>
        </is>
      </c>
      <c r="B20" s="16" t="inlineStr">
        <is>
          <t>G1 — elegir mercado y tamaño de vela (criterios en la hoja PUERTAS)</t>
        </is>
      </c>
    </row>
    <row r="21">
      <c r="A21" s="15" t="inlineStr">
        <is>
          <t>OBJETIVO DEL MES</t>
        </is>
      </c>
      <c r="B21" s="16" t="inlineStr">
        <is>
          <t>Llegar al 1 de septiembre con respuesta a: ¿existe alguna estrategia que merezca pasar a demo?</t>
        </is>
      </c>
    </row>
    <row r="22">
      <c r="A22" s="15" t="inlineStr">
        <is>
          <t>FUENTE DE VERDAD</t>
        </is>
      </c>
      <c r="B22" s="16" t="inlineStr">
        <is>
          <t>00-direccion/WBS.md — este Excel se genera de ahi. Si discrepan, manda el texto.</t>
        </is>
      </c>
    </row>
    <row r="26">
      <c r="A26" s="15" t="inlineStr">
        <is>
          <t>LEYENDA</t>
        </is>
      </c>
    </row>
    <row r="27">
      <c r="A27" s="17" t="inlineStr">
        <is>
          <t>Hecha</t>
        </is>
      </c>
    </row>
    <row r="28">
      <c r="A28" s="18" t="inlineStr">
        <is>
          <t>En curso</t>
        </is>
      </c>
    </row>
    <row r="29">
      <c r="A29" s="19" t="inlineStr">
        <is>
          <t>Pendiente</t>
        </is>
      </c>
    </row>
    <row r="30">
      <c r="A30" s="20" t="inlineStr">
        <is>
          <t>Bloqueada</t>
        </is>
      </c>
    </row>
  </sheetData>
  <mergeCells count="9">
    <mergeCell ref="B20:G20"/>
    <mergeCell ref="A1:G1"/>
    <mergeCell ref="B16:F16"/>
    <mergeCell ref="B22:G22"/>
    <mergeCell ref="B15:F15"/>
    <mergeCell ref="B14:F14"/>
    <mergeCell ref="B21:G21"/>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03.01.08 — Prueba de fuego de las barreras (regla 25 de CLAUDE.md): inyectar cada caso prohibido —leer el cajón reservado, escribir fuera del proyecto, borrar datos, gastar dinero— y comprobar que se bloquea de verdad. Lo que no se bloquee se marca "no verificada"</t>
        </is>
      </c>
      <c r="D4" s="24" t="n"/>
      <c r="E4" s="24" t="n"/>
      <c r="F4" s="24" t="n"/>
      <c r="G4" s="24" t="n"/>
      <c r="H4" s="24" t="n"/>
      <c r="I4" s="25" t="inlineStr">
        <is>
          <t>Crítico</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42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20 tareas, en este orden</t>
        </is>
      </c>
      <c r="B9" s="32" t="n"/>
      <c r="C9" s="32" t="n"/>
      <c r="D9" s="32" t="n"/>
      <c r="E9" s="32" t="n"/>
      <c r="F9" s="32" t="n"/>
      <c r="G9" s="32" t="n"/>
      <c r="H9" s="32" t="n"/>
      <c r="I9" s="32" t="n"/>
    </row>
    <row r="10">
      <c r="A10" s="5" t="n">
        <v>1</v>
      </c>
      <c r="B10" s="33" t="inlineStr">
        <is>
          <t>03.01.08</t>
        </is>
      </c>
      <c r="C10" s="4" t="inlineStr">
        <is>
          <t>Prueba de fuego de las barreras (regla 25 de CLAUDE.md): inyectar cada caso prohibido —leer el cajón reservado, escribir fuera del proyecto, borrar datos, gastar dinero— y comprobar que se bloquea de verdad. Lo que no se bloquee se marca "no verificada"</t>
        </is>
      </c>
      <c r="D10" s="4" t="inlineStr">
        <is>
          <t>Crítico</t>
        </is>
      </c>
      <c r="E10" s="34" t="inlineStr">
        <is>
          <t>MOTOR</t>
        </is>
      </c>
      <c r="F10" s="14" t="inlineStr">
        <is>
          <t>En curso</t>
        </is>
      </c>
      <c r="G10" s="5" t="n">
        <v>2</v>
      </c>
      <c r="H10" s="5" t="n">
        <v>2</v>
      </c>
      <c r="I10" s="4" t="inlineStr">
        <is>
          <t>nada: se puede empezar ya</t>
        </is>
      </c>
    </row>
    <row r="11">
      <c r="A11" s="5" t="n">
        <v>2</v>
      </c>
      <c r="B11" s="33" t="inlineStr">
        <is>
          <t>03.01.23</t>
        </is>
      </c>
      <c r="C11" s="4" t="inlineStr">
        <is>
          <t>Encadenador de trabajo desatendido: una conversación por tarea</t>
        </is>
      </c>
      <c r="D11" s="4" t="inlineStr">
        <is>
          <t>Constructor de motor</t>
        </is>
      </c>
      <c r="E11" s="34" t="inlineStr">
        <is>
          <t>MOTOR</t>
        </is>
      </c>
      <c r="F11" s="14" t="inlineStr">
        <is>
          <t>En curso</t>
        </is>
      </c>
      <c r="G11" s="5" t="inlineStr"/>
      <c r="H11" s="5" t="inlineStr"/>
      <c r="I11" s="4" t="inlineStr">
        <is>
          <t>nada: se puede empezar ya</t>
        </is>
      </c>
    </row>
    <row r="12">
      <c r="A12" s="5" t="n">
        <v>3</v>
      </c>
      <c r="B12" s="33" t="inlineStr">
        <is>
          <t>07.01.03</t>
        </is>
      </c>
      <c r="C12" s="4" t="inlineStr">
        <is>
          <t>NUEVA 03/08 (incidente de proceso): auditar todo lo escrito el 03/08/2026 entre las 21:44 y las 21:58 sin flujo de cuatro capas, y el residuo sin commitear del tramo anterior</t>
        </is>
      </c>
      <c r="D12" s="4" t="inlineStr">
        <is>
          <t>Orquestador</t>
        </is>
      </c>
      <c r="E12" s="34" t="inlineStr">
        <is>
          <t>MOTOR</t>
        </is>
      </c>
      <c r="F12" s="14" t="inlineStr">
        <is>
          <t>En curso</t>
        </is>
      </c>
      <c r="G12" s="5" t="inlineStr"/>
      <c r="H12" s="5" t="inlineStr"/>
      <c r="I12" s="4" t="inlineStr">
        <is>
          <t>nada: se puede empezar ya</t>
        </is>
      </c>
    </row>
    <row r="13">
      <c r="A13" s="5" t="n">
        <v>4</v>
      </c>
      <c r="B13" s="33" t="inlineStr">
        <is>
          <t>04.01.01</t>
        </is>
      </c>
      <c r="C13" s="4" t="inlineStr">
        <is>
          <t>Comparar 3-4 brokers del mercado elegido; elegir uno y abrir demo (CEO firma)</t>
        </is>
      </c>
      <c r="D13" s="28" t="inlineStr">
        <is>
          <t>CEO + Orquestador</t>
        </is>
      </c>
      <c r="E13" s="5" t="inlineStr">
        <is>
          <t>PRODUCTO</t>
        </is>
      </c>
      <c r="F13" s="5" t="inlineStr">
        <is>
          <t>Pendiente</t>
        </is>
      </c>
      <c r="G13" s="5" t="n">
        <v>2</v>
      </c>
      <c r="H13" s="5" t="n">
        <v>15</v>
      </c>
      <c r="I13" s="4" t="inlineStr">
        <is>
          <t>nada: se puede empezar ya</t>
        </is>
      </c>
    </row>
    <row r="14">
      <c r="A14" s="5" t="n">
        <v>5</v>
      </c>
      <c r="B14" s="33" t="inlineStr">
        <is>
          <t>04.02.01</t>
        </is>
      </c>
      <c r="C14" s="4" t="inlineStr">
        <is>
          <t>Barrido de fuentes: papers, libros, foros, GitHub, X. Regla: mínimo 2 fuentes independientes verificables por idea; vendedores de cursos/señales no son fuente</t>
        </is>
      </c>
      <c r="D14" s="4" t="inlineStr">
        <is>
          <t>Investigador</t>
        </is>
      </c>
      <c r="E14" s="5" t="inlineStr">
        <is>
          <t>PRODUCTO</t>
        </is>
      </c>
      <c r="F14" s="5" t="inlineStr">
        <is>
          <t>Pendiente</t>
        </is>
      </c>
      <c r="G14" s="5" t="n">
        <v>1</v>
      </c>
      <c r="H14" s="5" t="n">
        <v>16</v>
      </c>
      <c r="I14" s="4" t="inlineStr">
        <is>
          <t>nada: se puede empezar ya</t>
        </is>
      </c>
    </row>
    <row r="15">
      <c r="A15" s="5" t="n">
        <v>6</v>
      </c>
      <c r="B15" s="33" t="inlineStr">
        <is>
          <t>03.01.03</t>
        </is>
      </c>
      <c r="C15" s="4" t="inlineStr">
        <is>
          <t>Ejecución desatendida: arranques programados, permisos AMPLIOS por defecto (git como red de seguridad) y topes de gasto</t>
        </is>
      </c>
      <c r="D15" s="4" t="inlineStr">
        <is>
          <t>Constructores</t>
        </is>
      </c>
      <c r="E15" s="34" t="inlineStr">
        <is>
          <t>MOTOR</t>
        </is>
      </c>
      <c r="F15" s="5" t="inlineStr">
        <is>
          <t>Pendiente</t>
        </is>
      </c>
      <c r="G15" s="5" t="n">
        <v>1</v>
      </c>
      <c r="H15" s="5" t="n">
        <v>1</v>
      </c>
      <c r="I15" s="4" t="inlineStr">
        <is>
          <t>nada: se puede empezar ya</t>
        </is>
      </c>
    </row>
    <row r="16">
      <c r="A16" s="5" t="n">
        <v>7</v>
      </c>
      <c r="B16" s="33" t="inlineStr">
        <is>
          <t>03.01.04</t>
        </is>
      </c>
      <c r="C16" s="4" t="inlineStr">
        <is>
          <t>Plan de respaldo de modelos: si un modelo no está disponible o rechaza, el agente sigue con su respaldo y lo anota</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03.01.06</t>
        </is>
      </c>
      <c r="C17" s="4" t="inlineStr">
        <is>
          <t>Plantilla y automatismo de fichas de decisión: el secretario prepara cada decisión del CEO en el formato obligatorio y la adjunta al informe semanal</t>
        </is>
      </c>
      <c r="D17" s="4" t="inlineStr">
        <is>
          <t>Secretario</t>
        </is>
      </c>
      <c r="E17" s="34" t="inlineStr">
        <is>
          <t>MOTOR</t>
        </is>
      </c>
      <c r="F17" s="5" t="inlineStr">
        <is>
          <t>Pendiente</t>
        </is>
      </c>
      <c r="G17" s="5" t="n">
        <v>1</v>
      </c>
      <c r="H17" s="5" t="n">
        <v>1</v>
      </c>
      <c r="I17" s="4" t="inlineStr">
        <is>
          <t>nada: se puede empezar ya</t>
        </is>
      </c>
    </row>
    <row r="18">
      <c r="A18" s="5" t="n">
        <v>9</v>
      </c>
      <c r="B18" s="33" t="inlineStr">
        <is>
          <t>03.01.09</t>
        </is>
      </c>
      <c r="C18" s="4" t="inlineStr">
        <is>
          <t>Enrutado por tipo de tarea y comprobación de que el WBS genera tareas de cada tipo de agente (ver L-010 de LECCIONES.md; sin número propio en CLAUDE.md)</t>
        </is>
      </c>
      <c r="D18" s="4" t="inlineStr">
        <is>
          <t>Constructores</t>
        </is>
      </c>
      <c r="E18" s="34" t="inlineStr">
        <is>
          <t>MOTOR</t>
        </is>
      </c>
      <c r="F18" s="5" t="inlineStr">
        <is>
          <t>Pendiente</t>
        </is>
      </c>
      <c r="G18" s="5" t="inlineStr"/>
      <c r="H18" s="5" t="inlineStr"/>
      <c r="I18" s="4" t="inlineStr">
        <is>
          <t>nada: se puede empezar ya</t>
        </is>
      </c>
    </row>
    <row r="19">
      <c r="A19" s="5" t="n">
        <v>10</v>
      </c>
      <c r="B19" s="33" t="inlineStr">
        <is>
          <t>03.01.10</t>
        </is>
      </c>
      <c r="C19" s="4" t="inlineStr">
        <is>
          <t>Testbed sintético de invarianza: resultado de referencia fijo que debe reproducirse tras cualquier cambio del motor</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03.01.12</t>
        </is>
      </c>
      <c r="C20" s="4" t="inlineStr">
        <is>
          <t>NUEVA 01/08 (petición del CEO): fijar la estrategia de ramas de git. Criterio del CEO, literal: que dé agilidad, no complejidad</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03.01.15</t>
        </is>
      </c>
      <c r="C22" s="4" t="inlineStr">
        <is>
          <t>Herramientas del secretario: puede escribir los registros que solo admiten añadir pero no puede verificarlos</t>
        </is>
      </c>
      <c r="D22" s="4" t="inlineStr">
        <is>
          <t>Constructores</t>
        </is>
      </c>
      <c r="E22" s="34" t="inlineStr">
        <is>
          <t>MOTOR</t>
        </is>
      </c>
      <c r="F22" s="5" t="inlineStr">
        <is>
          <t>Pendiente</t>
        </is>
      </c>
      <c r="G22" s="5" t="inlineStr"/>
      <c r="H22" s="5" t="inlineStr"/>
      <c r="I22" s="4" t="inlineStr">
        <is>
          <t>nada: se puede empezar ya</t>
        </is>
      </c>
    </row>
    <row r="23">
      <c r="A23" s="5" t="n">
        <v>14</v>
      </c>
      <c r="B23" s="33" t="inlineStr">
        <is>
          <t>03.01.17</t>
        </is>
      </c>
      <c r="C23" s="4" t="inlineStr">
        <is>
          <t>Reparar la prueba 7 de verificar_excel.py (entregables de las tareas hechas)</t>
        </is>
      </c>
      <c r="D23" s="4" t="inlineStr">
        <is>
          <t>Constructor de motor</t>
        </is>
      </c>
      <c r="E23" s="34" t="inlineStr">
        <is>
          <t>MOTOR</t>
        </is>
      </c>
      <c r="F23" s="5" t="inlineStr">
        <is>
          <t>Pendiente</t>
        </is>
      </c>
      <c r="G23" s="5" t="inlineStr"/>
      <c r="H23" s="5" t="inlineStr"/>
      <c r="I23" s="4" t="inlineStr">
        <is>
          <t>nada: se puede empezar ya</t>
        </is>
      </c>
    </row>
    <row r="24">
      <c r="A24" s="5" t="n">
        <v>15</v>
      </c>
      <c r="B24" s="33" t="inlineStr">
        <is>
          <t>03.01.18</t>
        </is>
      </c>
      <c r="C24" s="4" t="inlineStr">
        <is>
          <t>NUEVA 03/08 (D-20, idea 1 de las auditorías): contador mecánico del reparto producto/motor, inyectado en el contexto al arrancar cada tirada</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03.01.19</t>
        </is>
      </c>
      <c r="C25" s="4" t="inlineStr">
        <is>
          <t>NUEVA 03/08 (D-20, idea 2 de las auditorías): registro mecánico de autoría, para que «nadie valida su propio trabajo» deje de ser solo prosa</t>
        </is>
      </c>
      <c r="D25" s="4" t="inlineStr">
        <is>
          <t>Constructores</t>
        </is>
      </c>
      <c r="E25" s="34" t="inlineStr">
        <is>
          <t>MOTOR</t>
        </is>
      </c>
      <c r="F25" s="5" t="inlineStr">
        <is>
          <t>Pendiente</t>
        </is>
      </c>
      <c r="G25" s="5" t="inlineStr"/>
      <c r="H25" s="5" t="inlineStr"/>
      <c r="I25" s="4" t="inlineStr">
        <is>
          <t>nada: se puede empezar ya</t>
        </is>
      </c>
    </row>
    <row r="26">
      <c r="A26" s="5" t="n">
        <v>17</v>
      </c>
      <c r="B26" s="33" t="inlineStr">
        <is>
          <t>03.01.20</t>
        </is>
      </c>
      <c r="C26" s="4" t="inlineStr">
        <is>
          <t>NUEVA 04/08 (incidente del 03/08): muro para que una sesión no siga trabajando sola después de un /compact</t>
        </is>
      </c>
      <c r="D26" s="4" t="inlineStr">
        <is>
          <t>Constructores</t>
        </is>
      </c>
      <c r="E26" s="34" t="inlineStr">
        <is>
          <t>MOTOR</t>
        </is>
      </c>
      <c r="F26" s="5" t="inlineStr">
        <is>
          <t>Pendiente</t>
        </is>
      </c>
      <c r="G26" s="5" t="inlineStr"/>
      <c r="H26" s="5" t="inlineStr"/>
      <c r="I26" s="4" t="inlineStr">
        <is>
          <t>nada: se puede empezar ya</t>
        </is>
      </c>
    </row>
    <row r="27">
      <c r="A27" s="5" t="n">
        <v>18</v>
      </c>
      <c r="B27" s="33" t="inlineStr">
        <is>
          <t>03.01.25</t>
        </is>
      </c>
      <c r="C27" s="4" t="inlineStr">
        <is>
          <t>NUEVA 05/08 (nace del incidente de este mismo día): guardia en .githooks/pre-commit que ejecuta la métrica de L-027 de 00-direccion/LECCIONES.md sobre 00-direccion/WBS.md y rechaza el commit si alguna fila de tarea no da 7 campos al partirla por la barra vertical. Motivo: hoy la métrica existe, está escrita como normativa en este WBS, y no la ejecuta nadie automáticamente; 05-vista-ceo/verificar_excel.py no la cubre. Es el muro que le falta a la única fuente de verdad del proyecto. Regla 24 de CLAUDE.md: nace de un incidente real y medido — el 05/08 cuatro filas quedaron partidas y ningún guardia se enteró. Regla 25 de CLAUDE.md: se verifica por inyección de una fila rota ANTES de documentarse como activo. AVISO PARA QUIEN LA EJECUTE, medido el mismo día: el propio texto de esta fila no puede contener el comando literal, porque la barra vertical que lleva dentro rompe la fila que describe; el guardia tiene que tolerar esa cita cuando aparezca en prosa fuera de una tabla.</t>
        </is>
      </c>
      <c r="D27" s="4" t="inlineStr">
        <is>
          <t>Constructor de motor</t>
        </is>
      </c>
      <c r="E27" s="34" t="inlineStr">
        <is>
          <t>MOTOR</t>
        </is>
      </c>
      <c r="F27" s="5" t="inlineStr">
        <is>
          <t>Pendiente</t>
        </is>
      </c>
      <c r="G27" s="5" t="inlineStr"/>
      <c r="H27" s="5" t="inlineStr"/>
      <c r="I27" s="4" t="inlineStr">
        <is>
          <t>nada: se puede empezar ya</t>
        </is>
      </c>
    </row>
    <row r="28">
      <c r="A28" s="5" t="n">
        <v>19</v>
      </c>
      <c r="B28" s="33" t="inlineStr">
        <is>
          <t>07.01.01</t>
        </is>
      </c>
      <c r="C28" s="4" t="inlineStr">
        <is>
          <t>Carpetas y documentos en orden; una fuente de verdad por tema; lo sustituido se borra</t>
        </is>
      </c>
      <c r="D28" s="4" t="inlineStr">
        <is>
          <t>Constructores</t>
        </is>
      </c>
      <c r="E28" s="34" t="inlineStr">
        <is>
          <t>MOTOR</t>
        </is>
      </c>
      <c r="F28" s="5" t="inlineStr">
        <is>
          <t>Pendiente</t>
        </is>
      </c>
      <c r="G28" s="5" t="inlineStr"/>
      <c r="H28" s="5" t="inlineStr"/>
      <c r="I28" s="4" t="inlineStr">
        <is>
          <t>nada: se puede empezar ya</t>
        </is>
      </c>
    </row>
    <row r="29">
      <c r="A29" s="5" t="n">
        <v>20</v>
      </c>
      <c r="B29" s="33" t="inlineStr">
        <is>
          <t>07.01.02</t>
        </is>
      </c>
      <c r="C29" s="4" t="inlineStr">
        <is>
          <t>Mejoras del motor: SOLO tareas aprobadas en revisión semanal (el motor no manda)</t>
        </is>
      </c>
      <c r="D29" s="4" t="inlineStr">
        <is>
          <t>Constructores</t>
        </is>
      </c>
      <c r="E29" s="34" t="inlineStr">
        <is>
          <t>MOTOR</t>
        </is>
      </c>
      <c r="F29" s="5" t="inlineStr">
        <is>
          <t>Pendiente</t>
        </is>
      </c>
      <c r="G29" s="5" t="inlineStr"/>
      <c r="H29" s="5" t="inlineStr"/>
      <c r="I29" s="4" t="inlineStr">
        <is>
          <t>nada: se puede empezar ya</t>
        </is>
      </c>
    </row>
    <row r="30">
      <c r="A30" s="32" t="inlineStr">
        <is>
          <t>ESPERANDO A OTRA TAREA — 22 tareas, en orden de codigo WBS</t>
        </is>
      </c>
      <c r="B30" s="32" t="n"/>
      <c r="C30" s="32" t="n"/>
      <c r="D30" s="32" t="n"/>
      <c r="E30" s="32" t="n"/>
      <c r="F30" s="32" t="n"/>
      <c r="G30" s="32" t="n"/>
      <c r="H30" s="32" t="n"/>
      <c r="I30" s="32" t="n"/>
    </row>
    <row r="31">
      <c r="A31" s="5" t="inlineStr">
        <is>
          <t>—</t>
        </is>
      </c>
      <c r="B31" s="33" t="inlineStr">
        <is>
          <t>03.01.05</t>
        </is>
      </c>
      <c r="C31" s="4" t="inlineStr">
        <is>
          <t>PRUEBA REAL DEL MOTOR: un día entero de trabajo desatendido de verdad antes de dar la fase por buena</t>
        </is>
      </c>
      <c r="D31" s="4" t="inlineStr">
        <is>
          <t>Orquestador</t>
        </is>
      </c>
      <c r="E31" s="34" t="inlineStr">
        <is>
          <t>MOTOR</t>
        </is>
      </c>
      <c r="F31" s="5" t="inlineStr">
        <is>
          <t>Pendiente</t>
        </is>
      </c>
      <c r="G31" s="5" t="inlineStr"/>
      <c r="H31" s="5" t="inlineStr"/>
      <c r="I31" s="4" t="inlineStr">
        <is>
          <t>03.01.03 (pendiente, Constructores), 03.01.04 (pendiente, Constructores)</t>
        </is>
      </c>
    </row>
    <row r="32">
      <c r="A32" s="5" t="inlineStr">
        <is>
          <t>—</t>
        </is>
      </c>
      <c r="B32" s="33" t="inlineStr">
        <is>
          <t>03.01.07</t>
        </is>
      </c>
      <c r="C32" s="4" t="inlineStr">
        <is>
          <t>Cola de aprobación del CEO: tabla con desplegable Aprobado / Saltar / Corregir y columna de corrección. Lo aprobado se ejecuta solo; lo corregido se rehace Y la corrección se guarda en LECCIONES.md</t>
        </is>
      </c>
      <c r="D32" s="4" t="inlineStr">
        <is>
          <t>Secretario</t>
        </is>
      </c>
      <c r="E32" s="34" t="inlineStr">
        <is>
          <t>MOTOR</t>
        </is>
      </c>
      <c r="F32" s="5" t="inlineStr">
        <is>
          <t>Pendiente</t>
        </is>
      </c>
      <c r="G32" s="5" t="inlineStr"/>
      <c r="H32" s="5" t="inlineStr"/>
      <c r="I32" s="4" t="inlineStr">
        <is>
          <t>03.01.06 (pendiente, Secretario)</t>
        </is>
      </c>
    </row>
    <row r="33">
      <c r="A33" s="5" t="inlineStr">
        <is>
          <t>—</t>
        </is>
      </c>
      <c r="B33" s="33" t="inlineStr">
        <is>
          <t>03.01.11</t>
        </is>
      </c>
      <c r="C33" s="4" t="inlineStr">
        <is>
          <t>NUEVA 31/07 (D-10): guardia del cajon reservado por cifrado. Script cajon_reservado.py: la contraseña solo la tiene el CEO, no se guarda, se pide en cada operacion y nada se descifra a disco</t>
        </is>
      </c>
      <c r="D33" s="4" t="inlineStr">
        <is>
          <t>Constructores</t>
        </is>
      </c>
      <c r="E33" s="34" t="inlineStr">
        <is>
          <t>MOTOR</t>
        </is>
      </c>
      <c r="F33" s="14" t="inlineStr">
        <is>
          <t>En curso</t>
        </is>
      </c>
      <c r="G33" s="5" t="inlineStr"/>
      <c r="H33" s="5" t="inlineStr"/>
      <c r="I33" s="4" t="inlineStr">
        <is>
          <t>03.01.08 (en curso, Crítico)</t>
        </is>
      </c>
    </row>
    <row r="34">
      <c r="A34" s="5" t="inlineStr">
        <is>
          <t>—</t>
        </is>
      </c>
      <c r="B34" s="33" t="inlineStr">
        <is>
          <t>03.01.24</t>
        </is>
      </c>
      <c r="C34" s="4" t="inlineStr">
        <is>
          <t>NUEVA 05/08 (nace de los huecos medidos por ejecución en 03.01.08): las tres barreras que hoy NO existen. (a) El patrón Bash( 02-datos/reservado) de .claude/settings.json exige un espacio literal y no cubre la ruta pegada a una comilla, así que una línea de python lo esquiva: sustituirlo por un patrón que cubra cualquier verbo y cualquier forma de escribir la ruta, y probarlo con las TRES formas. (b) Nada impide rm -rf dentro de 02-datos/, y los datos no están en git (regla 27 de CLAUDE.md): no se rehacen deshaciendo un commit, se rehacen volviendo a descargarlos. (c) No hay ninguna barrera de gasto, ni en código ni en configuración; D-26 de 00-direccion/DECISIONES.md deja escrito que --max-budget-usd existe. Regla 24 de CLAUDE.md: las tres nacen de una inyección ejecutada con su salida guardada, no de una sospecha, y ninguna causó daño. Regla 25 de CLAUDE.md: cada barrera nueva se verifica por inyección ANTES de documentarse como activa.</t>
        </is>
      </c>
      <c r="D34" s="4" t="inlineStr">
        <is>
          <t>Constructores</t>
        </is>
      </c>
      <c r="E34" s="34" t="inlineStr">
        <is>
          <t>MOTOR</t>
        </is>
      </c>
      <c r="F34" s="5" t="inlineStr">
        <is>
          <t>Pendiente</t>
        </is>
      </c>
      <c r="G34" s="5" t="inlineStr"/>
      <c r="H34" s="5" t="inlineStr"/>
      <c r="I34" s="4" t="inlineStr">
        <is>
          <t>03.01.08 (en curso, Crítico)</t>
        </is>
      </c>
    </row>
    <row r="35">
      <c r="A35" s="5" t="inlineStr">
        <is>
          <t>—</t>
        </is>
      </c>
      <c r="B35" s="33" t="inlineStr">
        <is>
          <t>04.01.02</t>
        </is>
      </c>
      <c r="C35"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35" s="4" t="inlineStr">
        <is>
          <t>Constructor datos</t>
        </is>
      </c>
      <c r="E35" s="5" t="inlineStr">
        <is>
          <t>PRODUCTO</t>
        </is>
      </c>
      <c r="F35" s="5" t="inlineStr">
        <is>
          <t>Pendiente</t>
        </is>
      </c>
      <c r="G35" s="5" t="inlineStr"/>
      <c r="H35" s="5" t="inlineStr"/>
      <c r="I35" s="4" t="inlineStr">
        <is>
          <t>04.01.01 (pendiente, CEO + Orquestador)</t>
        </is>
      </c>
    </row>
    <row r="36">
      <c r="A36" s="5" t="inlineStr">
        <is>
          <t>—</t>
        </is>
      </c>
      <c r="B36" s="33" t="inlineStr">
        <is>
          <t>04.01.03</t>
        </is>
      </c>
      <c r="C36" s="4" t="inlineStr">
        <is>
          <t>Histórico limpio partido en 3 cajones: construir (train), ajustar (validación) y RESERVADO bajo llave (OOS, se abre una sola vez por variante). Ningún agente toca el reservado</t>
        </is>
      </c>
      <c r="D36" s="4" t="inlineStr">
        <is>
          <t>Constructor datos</t>
        </is>
      </c>
      <c r="E36" s="5" t="inlineStr">
        <is>
          <t>PRODUCTO</t>
        </is>
      </c>
      <c r="F36" s="5" t="inlineStr">
        <is>
          <t>Pendiente</t>
        </is>
      </c>
      <c r="G36" s="5" t="n">
        <v>1</v>
      </c>
      <c r="H36" s="5" t="n">
        <v>13</v>
      </c>
      <c r="I36" s="4" t="inlineStr">
        <is>
          <t>04.01.01 (pendiente, CEO + Orquestador)</t>
        </is>
      </c>
    </row>
    <row r="37">
      <c r="A37" s="5" t="inlineStr">
        <is>
          <t>—</t>
        </is>
      </c>
      <c r="B37" s="33" t="inlineStr">
        <is>
          <t>04.02.02</t>
        </is>
      </c>
      <c r="C37" s="4" t="inlineStr">
        <is>
          <t>Ficha por hipótesis: por qué existiría la ventaja, reglas de entrada/salida, mercado y vela. Sin lógica de por qué gana, no entra (nada de probar por probar)</t>
        </is>
      </c>
      <c r="D37" s="4" t="inlineStr">
        <is>
          <t>Investigador</t>
        </is>
      </c>
      <c r="E37" s="5" t="inlineStr">
        <is>
          <t>PRODUCTO</t>
        </is>
      </c>
      <c r="F37" s="5" t="inlineStr">
        <is>
          <t>Pendiente</t>
        </is>
      </c>
      <c r="G37" s="5" t="n">
        <v>1</v>
      </c>
      <c r="H37" s="5" t="n">
        <v>15</v>
      </c>
      <c r="I37" s="4" t="inlineStr">
        <is>
          <t>04.02.01 (pendiente, Investigador)</t>
        </is>
      </c>
    </row>
    <row r="38">
      <c r="A38" s="5" t="inlineStr">
        <is>
          <t>—</t>
        </is>
      </c>
      <c r="B38" s="33" t="inlineStr">
        <is>
          <t>04.02.03</t>
        </is>
      </c>
      <c r="C38" s="4" t="inlineStr">
        <is>
          <t>Filtro de sentido: el Validador puntúa y se eligen las 3-5 mejores</t>
        </is>
      </c>
      <c r="D38" s="4" t="inlineStr">
        <is>
          <t>Validador</t>
        </is>
      </c>
      <c r="E38" s="5" t="inlineStr">
        <is>
          <t>PRODUCTO</t>
        </is>
      </c>
      <c r="F38" s="5" t="inlineStr">
        <is>
          <t>Pendiente</t>
        </is>
      </c>
      <c r="G38" s="5" t="n">
        <v>1</v>
      </c>
      <c r="H38" s="5" t="n">
        <v>14</v>
      </c>
      <c r="I38" s="4" t="inlineStr">
        <is>
          <t>04.02.02 (pendiente, Investigador)</t>
        </is>
      </c>
    </row>
    <row r="39">
      <c r="A39" s="5" t="inlineStr">
        <is>
          <t>—</t>
        </is>
      </c>
      <c r="B39" s="33" t="inlineStr">
        <is>
          <t>04.02.04</t>
        </is>
      </c>
      <c r="C39" s="4" t="inlineStr">
        <is>
          <t>Pre-registro de variantes: cada hipótesis deja escritas sus variantes ANTES de probar (máx. 5-7 por hipótesis). Lo no registrado no se prueba</t>
        </is>
      </c>
      <c r="D39" s="4" t="inlineStr">
        <is>
          <t>Validador</t>
        </is>
      </c>
      <c r="E39" s="5" t="inlineStr">
        <is>
          <t>PRODUCTO</t>
        </is>
      </c>
      <c r="F39" s="5" t="inlineStr">
        <is>
          <t>Pendiente</t>
        </is>
      </c>
      <c r="G39" s="5" t="n">
        <v>1</v>
      </c>
      <c r="H39" s="5" t="n">
        <v>13</v>
      </c>
      <c r="I39" s="4" t="inlineStr">
        <is>
          <t>04.02.03 (pendiente, Validador)</t>
        </is>
      </c>
    </row>
    <row r="40">
      <c r="A40" s="5" t="inlineStr">
        <is>
          <t>—</t>
        </is>
      </c>
      <c r="B40" s="33" t="inlineStr">
        <is>
          <t>04.03.01</t>
        </is>
      </c>
      <c r="C40" s="4" t="inlineStr">
        <is>
          <t>Backtest con costes reales sobre el cajón de construir</t>
        </is>
      </c>
      <c r="D40" s="4" t="inlineStr">
        <is>
          <t>Constructores</t>
        </is>
      </c>
      <c r="E40" s="5" t="inlineStr">
        <is>
          <t>PRODUCTO</t>
        </is>
      </c>
      <c r="F40" s="5" t="inlineStr">
        <is>
          <t>Pendiente</t>
        </is>
      </c>
      <c r="G40" s="5" t="n">
        <v>1</v>
      </c>
      <c r="H40" s="5" t="n">
        <v>12</v>
      </c>
      <c r="I40" s="4" t="inlineStr">
        <is>
          <t>04.01.03 (pendiente, Constructor datos), 04.02.04 (pendiente, Validador)</t>
        </is>
      </c>
    </row>
    <row r="41">
      <c r="A41" s="5" t="inlineStr">
        <is>
          <t>—</t>
        </is>
      </c>
      <c r="B41" s="33" t="inlineStr">
        <is>
          <t>04.03.02</t>
        </is>
      </c>
      <c r="C41" s="4" t="inlineStr">
        <is>
          <t>Ajuste SOLO con el cajón de validación; lo que no aguanta, muere aquí</t>
        </is>
      </c>
      <c r="D41" s="4" t="inlineStr">
        <is>
          <t>Constructores</t>
        </is>
      </c>
      <c r="E41" s="5" t="inlineStr">
        <is>
          <t>PRODUCTO</t>
        </is>
      </c>
      <c r="F41" s="5" t="inlineStr">
        <is>
          <t>Pendiente</t>
        </is>
      </c>
      <c r="G41" s="5" t="n">
        <v>1</v>
      </c>
      <c r="H41" s="5" t="n">
        <v>11</v>
      </c>
      <c r="I41" s="4" t="inlineStr">
        <is>
          <t>04.03.01 (pendiente, Constructores)</t>
        </is>
      </c>
    </row>
    <row r="42">
      <c r="A42" s="5" t="inlineStr">
        <is>
          <t>—</t>
        </is>
      </c>
      <c r="B42" s="33" t="inlineStr">
        <is>
          <t>04.03.03</t>
        </is>
      </c>
      <c r="C42" s="4" t="inlineStr">
        <is>
          <t>Prueba de fuego: UNA sola pasada por variante sobre el cajón reservado (OOS). Repetir sería hacerse trampa</t>
        </is>
      </c>
      <c r="D42" s="4" t="inlineStr">
        <is>
          <t>Validador</t>
        </is>
      </c>
      <c r="E42" s="5" t="inlineStr">
        <is>
          <t>PRODUCTO</t>
        </is>
      </c>
      <c r="F42" s="5" t="inlineStr">
        <is>
          <t>Pendiente</t>
        </is>
      </c>
      <c r="G42" s="5" t="n">
        <v>1</v>
      </c>
      <c r="H42" s="5" t="n">
        <v>10</v>
      </c>
      <c r="I42" s="4" t="inlineStr">
        <is>
          <t>04.03.02 (pendiente, Constructores)</t>
        </is>
      </c>
    </row>
    <row r="43">
      <c r="A43" s="5" t="inlineStr">
        <is>
          <t>—</t>
        </is>
      </c>
      <c r="B43" s="33" t="inlineStr">
        <is>
          <t>04.03.04</t>
        </is>
      </c>
      <c r="C43" s="4" t="inlineStr">
        <is>
          <t>Robustez: Monte Carlo (barajar el orden de operaciones y meter pequeños cambios miles de veces: ¿aguanta o era suerte?) + walk-forward (repetir el ajuste avanzando en el tiempo)</t>
        </is>
      </c>
      <c r="D43" s="4" t="inlineStr">
        <is>
          <t>Validador</t>
        </is>
      </c>
      <c r="E43" s="5" t="inlineStr">
        <is>
          <t>PRODUCTO</t>
        </is>
      </c>
      <c r="F43" s="5" t="inlineStr">
        <is>
          <t>Pendiente</t>
        </is>
      </c>
      <c r="G43" s="5" t="n">
        <v>1</v>
      </c>
      <c r="H43" s="5" t="n">
        <v>9</v>
      </c>
      <c r="I43" s="4" t="inlineStr">
        <is>
          <t>04.03.03 (pendiente, Validador)</t>
        </is>
      </c>
    </row>
    <row r="44">
      <c r="A44" s="5" t="inlineStr">
        <is>
          <t>—</t>
        </is>
      </c>
      <c r="B44" s="33" t="inlineStr">
        <is>
          <t>04.03.05</t>
        </is>
      </c>
      <c r="C44" s="4" t="inlineStr">
        <is>
          <t>Veredicto pasa/no pasa por variante, con los criterios de G2. Quien construyó no vota</t>
        </is>
      </c>
      <c r="D44" s="4" t="inlineStr">
        <is>
          <t>Validador</t>
        </is>
      </c>
      <c r="E44" s="5" t="inlineStr">
        <is>
          <t>PRODUCTO</t>
        </is>
      </c>
      <c r="F44" s="5" t="inlineStr">
        <is>
          <t>Pendiente</t>
        </is>
      </c>
      <c r="G44" s="5" t="n">
        <v>1</v>
      </c>
      <c r="H44" s="5" t="n">
        <v>8</v>
      </c>
      <c r="I44" s="4" t="inlineStr">
        <is>
          <t>04.03.04 (pendiente, Validador)</t>
        </is>
      </c>
    </row>
    <row r="45">
      <c r="A45" s="5" t="inlineStr">
        <is>
          <t>—</t>
        </is>
      </c>
      <c r="B45" s="33" t="inlineStr">
        <is>
          <t>04.04.01</t>
        </is>
      </c>
      <c r="C45" s="4" t="inlineStr">
        <is>
          <t>Informe de la vuelta: qué pasó, qué murió y por qué. Registro de TODAS las pruebas, también fallidas</t>
        </is>
      </c>
      <c r="D45" s="4" t="inlineStr">
        <is>
          <t>Secretario</t>
        </is>
      </c>
      <c r="E45" s="5" t="inlineStr">
        <is>
          <t>PRODUCTO</t>
        </is>
      </c>
      <c r="F45" s="5" t="inlineStr">
        <is>
          <t>Pendiente</t>
        </is>
      </c>
      <c r="G45" s="5" t="n">
        <v>2</v>
      </c>
      <c r="H45" s="5" t="n">
        <v>7</v>
      </c>
      <c r="I45" s="4" t="inlineStr">
        <is>
          <t>04.03.05 (pendiente, Validador)</t>
        </is>
      </c>
    </row>
    <row r="46">
      <c r="A46" s="5" t="inlineStr">
        <is>
          <t>—</t>
        </is>
      </c>
      <c r="B46" s="33" t="inlineStr">
        <is>
          <t>04.04.02</t>
        </is>
      </c>
      <c r="C46" s="4" t="inlineStr">
        <is>
          <t>Si ninguna pasa: volver a 04.02 con lecciones (vuelta 2, 3…). Tras la 3ª vuelta sin éxito: revisión completa del planteamiento con el CEO</t>
        </is>
      </c>
      <c r="D46" s="4" t="inlineStr">
        <is>
          <t>Orquestador</t>
        </is>
      </c>
      <c r="E46" s="5" t="inlineStr">
        <is>
          <t>PRODUCTO</t>
        </is>
      </c>
      <c r="F46" s="5" t="inlineStr">
        <is>
          <t>Pendiente</t>
        </is>
      </c>
      <c r="G46" s="5" t="inlineStr"/>
      <c r="H46" s="5" t="inlineStr"/>
      <c r="I46" s="4" t="inlineStr">
        <is>
          <t>04.04.01 (pendiente, Secretario)</t>
        </is>
      </c>
    </row>
    <row r="47">
      <c r="A47" s="5" t="inlineStr">
        <is>
          <t>—</t>
        </is>
      </c>
      <c r="B47" s="33" t="inlineStr">
        <is>
          <t>04.04.03</t>
        </is>
      </c>
      <c r="C47" s="4" t="inlineStr">
        <is>
          <t>PUERTA G2: el CEO decide qué pasa a demo</t>
        </is>
      </c>
      <c r="D47" s="28" t="inlineStr">
        <is>
          <t>CEO</t>
        </is>
      </c>
      <c r="E47" s="5" t="inlineStr">
        <is>
          <t>PRODUCTO</t>
        </is>
      </c>
      <c r="F47" s="5" t="inlineStr">
        <is>
          <t>Pendiente</t>
        </is>
      </c>
      <c r="G47" s="5" t="n">
        <v>1</v>
      </c>
      <c r="H47" s="5" t="n">
        <v>5</v>
      </c>
      <c r="I47" s="4" t="inlineStr">
        <is>
          <t>04.04.01 (pendiente, Secretario)</t>
        </is>
      </c>
    </row>
    <row r="48">
      <c r="A48" s="5" t="inlineStr">
        <is>
          <t>—</t>
        </is>
      </c>
      <c r="B48" s="33" t="inlineStr">
        <is>
          <t>05.01.01</t>
        </is>
      </c>
      <c r="C48" s="4" t="inlineStr">
        <is>
          <t>Bot en demo, solo y con guardias automáticos</t>
        </is>
      </c>
      <c r="D48" s="4" t="inlineStr">
        <is>
          <t>Constructores</t>
        </is>
      </c>
      <c r="E48" s="5" t="inlineStr">
        <is>
          <t>PRODUCTO</t>
        </is>
      </c>
      <c r="F48" s="5" t="inlineStr">
        <is>
          <t>Pendiente</t>
        </is>
      </c>
      <c r="G48" s="5" t="n">
        <v>1</v>
      </c>
      <c r="H48" s="5" t="n">
        <v>4</v>
      </c>
      <c r="I48" s="4" t="inlineStr">
        <is>
          <t>04.04.03 (pendiente, CEO)</t>
        </is>
      </c>
    </row>
    <row r="49">
      <c r="A49" s="5" t="inlineStr">
        <is>
          <t>—</t>
        </is>
      </c>
      <c r="B49" s="33" t="inlineStr">
        <is>
          <t>05.01.02</t>
        </is>
      </c>
      <c r="C49" s="4" t="inlineStr">
        <is>
          <t>Seguimiento semanal real vs. prometido (8-12 semanas)</t>
        </is>
      </c>
      <c r="D49" s="4" t="inlineStr">
        <is>
          <t>Secretario</t>
        </is>
      </c>
      <c r="E49" s="5" t="inlineStr">
        <is>
          <t>PRODUCTO</t>
        </is>
      </c>
      <c r="F49" s="5" t="inlineStr">
        <is>
          <t>Pendiente</t>
        </is>
      </c>
      <c r="G49" s="5" t="n">
        <v>1</v>
      </c>
      <c r="H49" s="5" t="n">
        <v>3</v>
      </c>
      <c r="I49" s="4" t="inlineStr">
        <is>
          <t>05.01.01 (pendiente, Constructores)</t>
        </is>
      </c>
    </row>
    <row r="50">
      <c r="A50" s="5" t="inlineStr">
        <is>
          <t>—</t>
        </is>
      </c>
      <c r="B50" s="33" t="inlineStr">
        <is>
          <t>05.01.03</t>
        </is>
      </c>
      <c r="C50" s="4" t="inlineStr">
        <is>
          <t>PUERTA G3: CEO decide dinero, cuánto y pérdida máxima</t>
        </is>
      </c>
      <c r="D50" s="28" t="inlineStr">
        <is>
          <t>CEO</t>
        </is>
      </c>
      <c r="E50" s="5" t="inlineStr">
        <is>
          <t>PRODUCTO</t>
        </is>
      </c>
      <c r="F50" s="5" t="inlineStr">
        <is>
          <t>Pendiente</t>
        </is>
      </c>
      <c r="G50" s="5" t="n">
        <v>1</v>
      </c>
      <c r="H50" s="5" t="n">
        <v>2</v>
      </c>
      <c r="I50" s="4" t="inlineStr">
        <is>
          <t>05.01.02 (pendiente, Secretario)</t>
        </is>
      </c>
    </row>
    <row r="51">
      <c r="A51" s="5" t="inlineStr">
        <is>
          <t>—</t>
        </is>
      </c>
      <c r="B51" s="33" t="inlineStr">
        <is>
          <t>06.01.01</t>
        </is>
      </c>
      <c r="C51" s="4" t="inlineStr">
        <is>
          <t>Dinero pequeño respetando los límites de 01.01.03</t>
        </is>
      </c>
      <c r="D51" s="4" t="inlineStr">
        <is>
          <t>Constructores</t>
        </is>
      </c>
      <c r="E51" s="5" t="inlineStr">
        <is>
          <t>PRODUCTO</t>
        </is>
      </c>
      <c r="F51" s="5" t="inlineStr">
        <is>
          <t>Pendiente</t>
        </is>
      </c>
      <c r="G51" s="5" t="n">
        <v>1</v>
      </c>
      <c r="H51" s="5" t="n">
        <v>1</v>
      </c>
      <c r="I51" s="4" t="inlineStr">
        <is>
          <t>05.01.03 (pendiente, CEO)</t>
        </is>
      </c>
    </row>
    <row r="52">
      <c r="A52" s="5" t="inlineStr">
        <is>
          <t>—</t>
        </is>
      </c>
      <c r="B52" s="33" t="inlineStr">
        <is>
          <t>06.01.02</t>
        </is>
      </c>
      <c r="C52" s="4" t="inlineStr">
        <is>
          <t>PUERTA G4 mensual: seguir, ampliar o parar. Si pierde más de lo escrito, se para sin discusión</t>
        </is>
      </c>
      <c r="D52" s="28" t="inlineStr">
        <is>
          <t>CEO</t>
        </is>
      </c>
      <c r="E52" s="5" t="inlineStr">
        <is>
          <t>PRODUCTO</t>
        </is>
      </c>
      <c r="F52" s="5" t="inlineStr">
        <is>
          <t>Pendiente</t>
        </is>
      </c>
      <c r="G52" s="5" t="inlineStr"/>
      <c r="H52" s="5" t="inlineStr"/>
      <c r="I52" s="4" t="inlineStr">
        <is>
          <t>06.01.01 (pendiente, Constructores)</t>
        </is>
      </c>
    </row>
    <row r="54" ht="46" customHeight="1">
      <c r="A54" s="35" t="inlineStr">
        <is>
          <t>Aviso de la regla 8 (CLAUDE.md): si la cola de arriba solo tuviera tareas de MOTOR, hay que parar y avisar al CEO; significa que la cola esta mal llena. Ahora mismo la cola tiene 2 de producto y 18 de motor.</t>
        </is>
      </c>
    </row>
  </sheetData>
  <mergeCells count="11">
    <mergeCell ref="A4:B4"/>
    <mergeCell ref="C6:H6"/>
    <mergeCell ref="A2:I2"/>
    <mergeCell ref="C5:H5"/>
    <mergeCell ref="A5:B5"/>
    <mergeCell ref="A1:I1"/>
    <mergeCell ref="A9:I9"/>
    <mergeCell ref="C4:H4"/>
    <mergeCell ref="A6:B6"/>
    <mergeCell ref="A30:I30"/>
    <mergeCell ref="A54:I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1"/>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CLAUDE.md); genera requisito nuevo en 05.01.01 y 06.01.01. Resuelta la contradiccion que este WBS arrastraba (-25% propuesto frente a tolerancia declarada del 50-60%). No se reabrio el capital: los 1.000-2.000 € […] texto completo en 00-direccion/WBS.md</t>
        </is>
      </c>
      <c r="G8" s="4" t="inlineStr"/>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00-direccion/WBS.md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00-direccion/WBS.md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31/07 — coste_operar.md. Tabla final de coste de entrar y salir, 8 instrumentos, ida y vuelta, con tipo de cuenta declarado (raw/ECN vs spread-only, que no son comparables entre si). CORRECCIONES DE L-002 APLICADAS EN LA TABLA y no en nota al pie: USDJPY 1,16 pips (no 0,90) y USDCHF 0,73 pips (no 0,80). VERIFICADO por el orquestador: aritmetica de las 8 filas recalculada (spread + comision = total, cuadran las 6 con comision); las cifras citadas existen en el origen, localizadas por grep. RECORRIDO: primera entrega DEVUELTA por incumplir la regla 13 de CLAUDE.md (seis citas por numero de linea, que se rompen solas al editar el origen); corregida a referencias por seccion y fila de tabla, […] texto completo en 00-direccion/WBS.md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00-direccion/WBS.md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31/07 — precios_mercado.py, atr_15m_1h_4h.json, atr_real_15m_1h_4h.md. Tabla de 8 instrumentos x 3 velas, 24/24 celdas calculadas sobre precios descargados, 0 estimadas, 0 duplicados, 0 velas invalidas. Cordura del oro OK: 3.596,64 USD/oz, en miles. RECORRIDO: entregada, RECHAZADA por critico-codigo (bin incompleto contado como completo, en el filtro de ventana y en el primer bin de 4h de los 8 instrumentos), reparada en ronda 1, re-revisada y ACEPTADA. El critico recalculo el ATR desde los datos brutos con su propio codigo y coincide digito a digito con el script (XAUUSD 1h = 14.464676282400184, n=11824); verifico ademas que el descarte de bins de borde NO se come huecos legitimos (801 […] texto completo en 00-direccion/WBS.md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00-direccion/WBS.md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31/07 — coste_relativo.py, coste_relativo_15m_1h_4h.json, coste_relativo.md. ES EL CRITERIO 1 DE G1. Coste de ida y vuelta ÷ ATR x 100, 8 instrumentos x 3 velas, en CUATRO escenarios: vela media, mediana, tranquila (p10) y agitada (p90). RECORRIDO: entregada, RECHAZADA por critico-codigo (no por error de calculo —reejecuto el script y salio bit-identico— sino por un sesgo de metodo sin declarar), corregida y ACEPTADA. EL SESGO, hallado por el revisor y reproducido por el orquestador: el ATR medio de XAUUSD esta inflado respecto a su mediana (1,28-1,30) mas que el de ningun otro instrumento (0,985-1,144), porque su pausa diaria de 21:00-22:00 UTC genera un salto de rango UNA VEZ AL DIA […] texto completo en 00-direccion/WBS.md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00-direccion/WBS.md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31/07 — correlaciones_mercado.py, correlaciones_8x8.json, correlaciones_8x8.md. 12 matrices 8x8 (3 ventanas x 4 velas, incluida la diaria) sobre RENDIMIENTOS logaritmicos, corte unico 22:00 UTC. ACEPTADA por critico-codigo sin ronda de reparacion. VERIFICADO POR EJECUCION por el revisor: recalculo 4 celdas con codigo propio y coinciden a 15 decimales; confirmo que correlaciona rendimientos y no precios (XAUUSD/USDJPY da +0,586 en precios frente a -0,060 en rendimientos); demostro que pandas ignora el offset con "1D" y que el codigo usa "24h", con el 100% de las velas diarias ancladas a las 22:00; y SIN REGRESION en precios_mercado.py, cuyo ATR regenerado sale identico digito a digito al […] texto completo en 00-direccion/WBS.md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00-direccion/WBS.md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veredicto a 4h; sí lo rompe a 1h (11,01%) y a 15m (19,80-25,46%). Motivo 5 confirmado uno a uno: 7 de 8 instrumentos** mezclan broker o tipo de cuenta; solo BTCUSD comparte fuente. RECORRIDO: validador […] texto completo en 00-direccion/WBS.md</t>
        </is>
      </c>
      <c r="G20" s="4" t="inlineStr"/>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00-direccion/WBS.md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00-direccion/WBS.md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.gitignore, commit-msg, cifrado) dependen de 03.01.01 (repo con WBS y reglas) y 03.01.02 (ocho agentes creados). Se remedia en 03.01.11 (D-10). No se cierra hasta repetir la pasada con 03.01.11 terminada SEGUNDA PASADA […] texto completo en 00-direccion/WBS.md</t>
        </is>
      </c>
      <c r="G31" s="4" t="inlineStr"/>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00-direccion/WBS.md</t>
        </is>
      </c>
    </row>
    <row r="35">
      <c r="A35" s="13" t="inlineStr">
        <is>
          <t>03.01.12</t>
        </is>
      </c>
      <c r="B35" s="4" t="inlineStr">
        <is>
          <t>NUEVA 01/08 (petición del CEO): fijar la estrategia de ramas de git. Criterio del CEO, literal: que dé agilidad, no complejidad</t>
        </is>
      </c>
      <c r="C35" s="4" t="inlineStr">
        <is>
          <t>Constructores</t>
        </is>
      </c>
      <c r="D35" s="4" t="inlineStr">
        <is>
          <t>03.01.01</t>
        </is>
      </c>
      <c r="E35" s="4" t="inlineStr">
        <is>
          <t>Pendiente</t>
        </is>
      </c>
      <c r="F35" s="4" t="inlineStr"/>
      <c r="G35" s="4" t="inlineStr">
        <is>
          <t>FICHA (01/08): Estado de partida, comprobado por ejecución el 01/08: git branch -a → una sola rama, main · git remote -v → vacío, no hay remoto · 16 commits · un solo humano. Alcance: decidir y dejar escrito (a) cuándo se trabaja en main y cuándo no, (b) si se usan worktrees y para qué, (c) qué NO se hace. Lo que ya se sabe y no hay que volver a investigar: Claude Code 2.1.220 trae worktrees nativos (claude --worktree &lt;nombre&gt;, y isolation: worktree en la ficha de un subagente) · los worktrees […] texto completo en 00-direccion/WBS.md</t>
        </is>
      </c>
    </row>
    <row r="36">
      <c r="A36" s="13" t="inlineStr">
        <is>
          <t>03.01.11</t>
        </is>
      </c>
      <c r="B36" s="4" t="inlineStr">
        <is>
          <t>NUEVA 31/07 (D-10): guardia del cajon reservado por cifrado. Script cajon_reservado.py: la contraseña solo la tiene el CEO, no se guarda, se pide en cada operacion y nada se descifra a disco</t>
        </is>
      </c>
      <c r="C36" s="4" t="inlineStr">
        <is>
          <t>Constructores</t>
        </is>
      </c>
      <c r="D36" s="4" t="inlineStr">
        <is>
          <t>03.01.08</t>
        </is>
      </c>
      <c r="E36" s="4" t="inlineStr">
        <is>
          <t>En curso</t>
        </is>
      </c>
      <c r="F36" s="4" t="inlineStr">
        <is>
          <t>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se intenta llamar una segunda vez. El CEO confirmo el 03/08/2026 que la contraseña la tecleo en una terminal real del sistema (nunca mediante el prefijo de ejecucion rapida de la sesion de Claude Code), porque […] texto completo en 00-direccion/WBS.md</t>
        </is>
      </c>
      <c r="G36" s="4" t="inlineStr"/>
    </row>
    <row r="37">
      <c r="A37" s="13" t="inlineStr">
        <is>
          <t>03.01.14</t>
        </is>
      </c>
      <c r="B37"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7" s="4" t="inlineStr">
        <is>
          <t>Constructores</t>
        </is>
      </c>
      <c r="D37" s="4" t="inlineStr">
        <is>
          <t>03.01.13</t>
        </is>
      </c>
      <c r="E37" s="4" t="inlineStr">
        <is>
          <t>Pendiente</t>
        </is>
      </c>
      <c r="F37" s="4" t="inlineStr">
        <is>
          <t>**</t>
        </is>
      </c>
      <c r="G37" s="4" t="inlineStr"/>
    </row>
    <row r="38">
      <c r="A38" s="13" t="inlineStr">
        <is>
          <t>03.01.15</t>
        </is>
      </c>
      <c r="B38" s="4" t="inlineStr">
        <is>
          <t>Herramientas del secretario: puede escribir los registros que solo admiten añadir pero no puede verificarlos</t>
        </is>
      </c>
      <c r="C38" s="4" t="inlineStr">
        <is>
          <t>Constructores</t>
        </is>
      </c>
      <c r="D38" s="4" t="inlineStr">
        <is>
          <t>03.01.02</t>
        </is>
      </c>
      <c r="E38" s="4" t="inlineStr">
        <is>
          <t>Pendiente</t>
        </is>
      </c>
      <c r="F38" s="4" t="inlineStr"/>
      <c r="G38"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00-direccion/WBS.md</t>
        </is>
      </c>
    </row>
    <row r="39">
      <c r="A39" s="13" t="inlineStr">
        <is>
          <t>03.01.16</t>
        </is>
      </c>
      <c r="B39" s="4" t="inlineStr">
        <is>
          <t>Las hojas del Excel se construyen de sus fuentes primarias, no de copias</t>
        </is>
      </c>
      <c r="C39" s="4" t="inlineStr">
        <is>
          <t>Constructores</t>
        </is>
      </c>
      <c r="D39" s="4" t="inlineStr">
        <is>
          <t>03.01.13, 03.01.14</t>
        </is>
      </c>
      <c r="E39" s="4" t="inlineStr">
        <is>
          <t>Hecha</t>
        </is>
      </c>
      <c r="F39" s="4" t="inlineStr">
        <is>
          <t>el 03/08», que llevaba la marca sin guion delante) que se detectó y reparó antes de terminar. Las dos demostradas por inyección en 05-vista-ceo/prueba_inyeccion.sh, casos 6 y 7 nuevos (función probar_argv, con el mismo guardia FIXTURE de L-026): el caso 6 añade una lección a una copia de LECCIONES.md sin tocar el Excel y hace caer la prueba de recuento; el caso 7 inserta una marca pendiente sin guion delante 40 caracteres antes del cierre real de una celda y hace caer solo la prueba de posición, sin falsear el ESTADO leído (igual que describe el mecanismo del bug). bash 05-vista-ceo/prueba_inyeccion.sh caza los 7 casos salvo el 3, que ya fallaba ANTES de esta tarea: usa el código 07.01.03 […] texto completo en 00-direccion/WBS.md</t>
        </is>
      </c>
      <c r="G39"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00-direccion/WBS.md</t>
        </is>
      </c>
    </row>
    <row r="40">
      <c r="A40" s="13" t="inlineStr">
        <is>
          <t>03.01.17</t>
        </is>
      </c>
      <c r="B40" s="4" t="inlineStr">
        <is>
          <t>Reparar la prueba 7 de verificar_excel.py (entregables de las tareas hechas)</t>
        </is>
      </c>
      <c r="C40" s="4" t="inlineStr">
        <is>
          <t>Constructor de motor</t>
        </is>
      </c>
      <c r="D40" s="4" t="inlineStr">
        <is>
          <t>03.01.13</t>
        </is>
      </c>
      <c r="E40" s="4" t="inlineStr">
        <is>
          <t>Pendiente</t>
        </is>
      </c>
      <c r="F40" s="4" t="inlineStr"/>
      <c r="G40" s="4" t="inlineStr">
        <is>
          <t>FICHA (03/08): Problema reproducido hoy: la prueba 7 localiza entregables citados en las celdas de tarea, pero corta cada celda por el primer hecha y solo examina lo que va después. En 03.01.13 ese marcador es el último carácter de la celda, así que examina cero ficheros y no caza que esa tarea, marcada hecha, cita 00-direccion/PENDIENTE-03.01.13-lista-de-reglas.md, que no existe en disco ni ha existido nunca en git. Dos defectos más: busca por nombre de fichero en CUALQUIER parte del […] texto completo en 00-direccion/WBS.md</t>
        </is>
      </c>
    </row>
    <row r="41">
      <c r="A41" s="13" t="inlineStr">
        <is>
          <t>03.01.18</t>
        </is>
      </c>
      <c r="B41" s="4" t="inlineStr">
        <is>
          <t>NUEVA 03/08 (D-20, idea 1 de las auditorías): contador mecánico del reparto producto/motor, inyectado en el contexto al arrancar cada tirada</t>
        </is>
      </c>
      <c r="C41" s="4" t="inlineStr">
        <is>
          <t>Constructores</t>
        </is>
      </c>
      <c r="D41" s="4" t="inlineStr">
        <is>
          <t>03.01.01</t>
        </is>
      </c>
      <c r="E41" s="4" t="inlineStr">
        <is>
          <t>Pendiente</t>
        </is>
      </c>
      <c r="F41" s="4" t="inlineStr"/>
      <c r="G41" s="4" t="inlineStr">
        <is>
          <t>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log y lo inyecta en el contexto con hookSpecificOutput.additionalContext, de forma que cada tirada empiece con el número delante en vez de […] texto completo en 00-direccion/WBS.md</t>
        </is>
      </c>
    </row>
    <row r="42">
      <c r="A42" s="13" t="inlineStr">
        <is>
          <t>03.01.19</t>
        </is>
      </c>
      <c r="B42" s="4" t="inlineStr">
        <is>
          <t>NUEVA 03/08 (D-20, idea 2 de las auditorías): registro mecánico de autoría, para que «nadie valida su propio trabajo» deje de ser solo prosa</t>
        </is>
      </c>
      <c r="C42" s="4" t="inlineStr">
        <is>
          <t>Constructores</t>
        </is>
      </c>
      <c r="D42" s="4" t="inlineStr">
        <is>
          <t>03.01.02</t>
        </is>
      </c>
      <c r="E42" s="4" t="inlineStr">
        <is>
          <t>Pendiente</t>
        </is>
      </c>
      <c r="F42" s="4" t="inlineStr"/>
      <c r="G42" s="4" t="inlineStr">
        <is>
          <t>FICHA (03/08): Problema: la regla 16 de CLAUDE.md y C2 no tienen muro. Hoy dependen de que el orquestador reparta bien y de que nadie se equivoque; no hay forma de comprobar a posteriori quién escribió qué. Nivel 1, que es lo que ESTA tarea entrega: un hook PostToolUse con matcher de escritura anota en 04-resultados/autoria.jsonl qué fichero se tocó y qué tipo de agente lo tocó. El campo del tipo de agente viaja en la entrada JSON de todo hook que corre dentro de un subagente. Con eso la regla […] texto completo en 00-direccion/WBS.md</t>
        </is>
      </c>
    </row>
    <row r="43">
      <c r="A43" s="13" t="inlineStr">
        <is>
          <t>03.01.20</t>
        </is>
      </c>
      <c r="B43" s="4" t="inlineStr">
        <is>
          <t>NUEVA 04/08 (incidente del 03/08): muro para que una sesión no siga trabajando sola después de un /compact</t>
        </is>
      </c>
      <c r="C43" s="4" t="inlineStr">
        <is>
          <t>Constructores</t>
        </is>
      </c>
      <c r="D43" s="4" t="inlineStr">
        <is>
          <t>03.01.02</t>
        </is>
      </c>
      <c r="E43" s="4" t="inlineStr">
        <is>
          <t>Pendiente</t>
        </is>
      </c>
      <c r="F43" s="4" t="inlineStr"/>
      <c r="G43" s="4" t="inlineStr">
        <is>
          <t>FICHA (04/08, dictada por el orquestador): Incidente que la origina, verificado (regla 24 de CLAUDE.md): el 03/08/2026, tras un /compact a las 21:29, la sesión recibió una orden del CEO a las 21:44 y trabajó sin invocar a un solo subagente hasta las 21:58 — escribió tres decisiones y cuatro lecciones en registros de solo-añadir, hizo cirugía estructural sobre el WBS y tocó dos scripts del Excel del CEO. Nadie lo revisó. El detalle está en la tarea 07.01.03. NO ES EL «Nivel 2» DE 03.01.19 y no […] texto completo en 00-direccion/WBS.md</t>
        </is>
      </c>
    </row>
    <row r="44">
      <c r="A44" s="13" t="inlineStr">
        <is>
          <t>03.01.21</t>
        </is>
      </c>
      <c r="B44" s="4" t="inlineStr">
        <is>
          <t>Diagnóstico medido del consumo de tokens del motor de agentes</t>
        </is>
      </c>
      <c r="C44" s="4" t="inlineStr">
        <is>
          <t>Secretario</t>
        </is>
      </c>
      <c r="D44" s="4" t="inlineStr">
        <is>
          <t>03.01.01</t>
        </is>
      </c>
      <c r="E44" s="4" t="inlineStr">
        <is>
          <t>Hecha</t>
        </is>
      </c>
      <c r="F44" s="4" t="inlineStr">
        <is>
          <t>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dentro de una misma conversación, sobre un suelo fijo de ~85.000 tokens por conversación. Correcciones aplicadas al propio diagnóstico tras revisión de critico-codigo: el ahorro estimado bajó de "5x" y de un […] texto completo en 00-direccion/WBS.md</t>
        </is>
      </c>
      <c r="G44" s="4" t="inlineStr"/>
    </row>
    <row r="45">
      <c r="A45" s="13" t="inlineStr">
        <is>
          <t>03.01.22</t>
        </is>
      </c>
      <c r="B45" s="4" t="inlineStr">
        <is>
          <t>Inventario por ejecución de los mecanismos de trabajo desatendido en esta máquina</t>
        </is>
      </c>
      <c r="C45" s="4" t="inlineStr">
        <is>
          <t>Constructor de motor</t>
        </is>
      </c>
      <c r="D45" s="4" t="inlineStr">
        <is>
          <t>03.01.01</t>
        </is>
      </c>
      <c r="E45" s="4" t="inlineStr">
        <is>
          <t>Hecha</t>
        </is>
      </c>
      <c r="F45"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5" s="4" t="inlineStr"/>
    </row>
    <row r="46">
      <c r="A46" s="13" t="inlineStr">
        <is>
          <t>03.01.23</t>
        </is>
      </c>
      <c r="B46" s="4" t="inlineStr">
        <is>
          <t>Encadenador de trabajo desatendido: una conversación por tarea</t>
        </is>
      </c>
      <c r="C46" s="4" t="inlineStr">
        <is>
          <t>Constructor de motor</t>
        </is>
      </c>
      <c r="D46" s="4" t="inlineStr">
        <is>
          <t>03.01.02</t>
        </is>
      </c>
      <c r="E46" s="4" t="inlineStr">
        <is>
          <t>En curso</t>
        </is>
      </c>
      <c r="F46" s="4" t="inlineStr">
        <is>
          <t>. No se enciende: depende de una tirada real supervisada y de 03.01.08. CRITERIO DE HECHO (no cambia): una tirada que arranque sola sin nadie delante, y la tabla muro/prosa con cada línea "muro" disparada por inyección. (Tabla muro/prosa en 03-motor/desatendido/LEEME.md, líneas 62-81; 13 mecanismos: 12 MURO verificados por ejecución, 1 NO verificado.)</t>
        </is>
      </c>
      <c r="G46"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00-direccion/WBS.md</t>
        </is>
      </c>
    </row>
    <row r="47">
      <c r="A47" s="13" t="inlineStr">
        <is>
          <t>03.01.24</t>
        </is>
      </c>
      <c r="B47" s="4" t="inlineStr">
        <is>
          <t>NUEVA 05/08 (nace de los huecos medidos por ejecución en 03.01.08): las tres barreras que hoy NO existen. (a) El patrón Bash( 02-datos/reservado) de .claude/settings.json exige un espacio literal y no cubre la ruta pegada a una comilla, así que una línea de python lo esquiva: sustituirlo por un patrón que cubra cualquier verbo y cualquier forma de escribir la ruta, y probarlo con las TRES formas. (b) Nada impide rm -rf dentro de 02-datos/, y los datos no están en git (regla 27 de CLAUDE.md): no se rehacen deshaciendo un commit, se rehacen volviendo a descargarlos. (c) No hay ninguna barrera de gasto, ni en código ni en configuración; D-26 de 00-direccion/DECISIONES.md deja escrito que --max-budget-usd existe. Regla 24 de CLAUDE.md: las tres nacen de una inyección ejecutada con su salida guardada, no de una sospecha, y ninguna causó daño. Regla 25 de CLAUDE.md: cada barrera nueva se verifica por inyección ANTES de documentarse como activa.</t>
        </is>
      </c>
      <c r="C47" s="4" t="inlineStr">
        <is>
          <t>Constructores</t>
        </is>
      </c>
      <c r="D47" s="4" t="inlineStr">
        <is>
          <t>03.01.08</t>
        </is>
      </c>
      <c r="E47" s="4" t="inlineStr">
        <is>
          <t>Pendiente</t>
        </is>
      </c>
      <c r="F47" s="4" t="inlineStr">
        <is>
          <t>** — DEUDA DE MOTOR: no se ejecuta sin permiso expreso del CEO (regla 7 de CLAUDE.md). Ficha de decisión preparada para el 06/08</t>
        </is>
      </c>
      <c r="G47" s="4" t="inlineStr"/>
    </row>
    <row r="48">
      <c r="A48" s="13" t="inlineStr">
        <is>
          <t>03.01.25</t>
        </is>
      </c>
      <c r="B48" s="4" t="inlineStr">
        <is>
          <t>NUEVA 05/08 (nace del incidente de este mismo día): guardia en .githooks/pre-commit que ejecuta la métrica de L-027 de 00-direccion/LECCIONES.md sobre 00-direccion/WBS.md y rechaza el commit si alguna fila de tarea no da 7 campos al partirla por la barra vertical. Motivo: hoy la métrica existe, está escrita como normativa en este WBS, y no la ejecuta nadie automáticamente; 05-vista-ceo/verificar_excel.py no la cubre. Es el muro que le falta a la única fuente de verdad del proyecto. Regla 24 de CLAUDE.md: nace de un incidente real y medido — el 05/08 cuatro filas quedaron partidas y ningún guardia se enteró. Regla 25 de CLAUDE.md: se verifica por inyección de una fila rota ANTES de documentarse como activo. AVISO PARA QUIEN LA EJECUTE, medido el mismo día: el propio texto de esta fila no puede contener el comando literal, porque la barra vertical que lleva dentro rompe la fila que describe; el guardia tiene que tolerar esa cita cuando aparezca en prosa fuera de una tabla.</t>
        </is>
      </c>
      <c r="C48" s="4" t="inlineStr">
        <is>
          <t>Constructor de motor</t>
        </is>
      </c>
      <c r="D48" s="4" t="inlineStr">
        <is>
          <t>03.01.01</t>
        </is>
      </c>
      <c r="E48" s="4" t="inlineStr">
        <is>
          <t>Pendiente</t>
        </is>
      </c>
      <c r="F48" s="4" t="inlineStr">
        <is>
          <t>** — DEUDA DE MOTOR: no se ejecuta sin permiso expreso del CEO (regla 7 de CLAUDE.md). Entra como cuarto punto de la ficha D-29 del 06/08</t>
        </is>
      </c>
      <c r="G48" s="4" t="inlineStr"/>
    </row>
    <row r="49" ht="20" customHeight="1">
      <c r="A49" s="36" t="inlineStr">
        <is>
          <t>04</t>
        </is>
      </c>
      <c r="B49" s="37" t="inlineStr">
        <is>
          <t>HIPÓTESIS Y VALIDACIÓN (PUERTA G2)</t>
        </is>
      </c>
      <c r="C49" s="37" t="n"/>
      <c r="D49" s="37" t="n"/>
      <c r="E49" s="37" t="n"/>
      <c r="F49" s="37" t="n"/>
      <c r="G49" s="37" t="n"/>
    </row>
    <row r="50">
      <c r="A50" s="38" t="inlineStr">
        <is>
          <t>04.01</t>
        </is>
      </c>
      <c r="B50" s="39" t="inlineStr">
        <is>
          <t>Broker y cajones de datos</t>
        </is>
      </c>
      <c r="C50" s="39" t="n"/>
      <c r="D50" s="39" t="n"/>
      <c r="E50" s="39" t="n"/>
      <c r="F50" s="39" t="n"/>
      <c r="G50" s="39" t="n"/>
    </row>
    <row r="51">
      <c r="A51" s="13" t="inlineStr">
        <is>
          <t>04.01.01</t>
        </is>
      </c>
      <c r="B51" s="4" t="inlineStr">
        <is>
          <t>Comparar 3-4 brokers del mercado elegido; elegir uno y abrir demo (CEO firma)</t>
        </is>
      </c>
      <c r="C51" s="28" t="inlineStr">
        <is>
          <t>CEO + Orquestador</t>
        </is>
      </c>
      <c r="D51" s="4" t="inlineStr">
        <is>
          <t>02.03.03</t>
        </is>
      </c>
      <c r="E51" s="4" t="inlineStr">
        <is>
          <t>Pendiente</t>
        </is>
      </c>
      <c r="F51" s="4" t="inlineStr"/>
      <c r="G51"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00-direccion/WBS.md</t>
        </is>
      </c>
    </row>
    <row r="52">
      <c r="A52" s="13" t="inlineStr">
        <is>
          <t>04.01.02</t>
        </is>
      </c>
      <c r="B52"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52" s="4" t="inlineStr">
        <is>
          <t>Constructor datos</t>
        </is>
      </c>
      <c r="D52" s="4" t="inlineStr">
        <is>
          <t>04.01.01</t>
        </is>
      </c>
      <c r="E52" s="4" t="inlineStr">
        <is>
          <t>Pendiente</t>
        </is>
      </c>
      <c r="F52" s="4" t="inlineStr"/>
      <c r="G52" s="4" t="inlineStr"/>
    </row>
    <row r="53">
      <c r="A53" s="13" t="inlineStr">
        <is>
          <t>04.01.03</t>
        </is>
      </c>
      <c r="B53" s="4" t="inlineStr">
        <is>
          <t>Histórico limpio partido en 3 cajones: construir (train), ajustar (validación) y RESERVADO bajo llave (OOS, se abre una sola vez por variante). Ningún agente toca el reservado</t>
        </is>
      </c>
      <c r="C53" s="4" t="inlineStr">
        <is>
          <t>Constructor datos</t>
        </is>
      </c>
      <c r="D53" s="4" t="inlineStr">
        <is>
          <t>04.01.01</t>
        </is>
      </c>
      <c r="E53" s="4" t="inlineStr">
        <is>
          <t>Pendiente</t>
        </is>
      </c>
      <c r="F53" s="4" t="inlineStr"/>
      <c r="G53" s="4" t="inlineStr"/>
    </row>
    <row r="54">
      <c r="A54" s="38" t="inlineStr">
        <is>
          <t>04.02</t>
        </is>
      </c>
      <c r="B54" s="39" t="inlineStr">
        <is>
          <t>Investigación de hipótesis</t>
        </is>
      </c>
      <c r="C54" s="39" t="n"/>
      <c r="D54" s="39" t="n"/>
      <c r="E54" s="39" t="n"/>
      <c r="F54" s="39" t="n"/>
      <c r="G54" s="39" t="n"/>
    </row>
    <row r="55">
      <c r="A55" s="13" t="inlineStr">
        <is>
          <t>04.02.01</t>
        </is>
      </c>
      <c r="B55" s="4" t="inlineStr">
        <is>
          <t>Barrido de fuentes: papers, libros, foros, GitHub, X. Regla: mínimo 2 fuentes independientes verificables por idea; vendedores de cursos/señales no son fuente</t>
        </is>
      </c>
      <c r="C55" s="4" t="inlineStr">
        <is>
          <t>Investigador</t>
        </is>
      </c>
      <c r="D55" s="4" t="inlineStr">
        <is>
          <t>03.01.02</t>
        </is>
      </c>
      <c r="E55" s="4" t="inlineStr">
        <is>
          <t>Pendiente</t>
        </is>
      </c>
      <c r="F55" s="4" t="inlineStr"/>
      <c r="G55" s="4" t="inlineStr"/>
    </row>
    <row r="56">
      <c r="A56" s="13" t="inlineStr">
        <is>
          <t>04.02.02</t>
        </is>
      </c>
      <c r="B56" s="4" t="inlineStr">
        <is>
          <t>Ficha por hipótesis: por qué existiría la ventaja, reglas de entrada/salida, mercado y vela. Sin lógica de por qué gana, no entra (nada de probar por probar)</t>
        </is>
      </c>
      <c r="C56" s="4" t="inlineStr">
        <is>
          <t>Investigador</t>
        </is>
      </c>
      <c r="D56" s="4" t="inlineStr">
        <is>
          <t>04.02.01</t>
        </is>
      </c>
      <c r="E56" s="4" t="inlineStr">
        <is>
          <t>Pendiente</t>
        </is>
      </c>
      <c r="F56" s="4" t="inlineStr"/>
      <c r="G56" s="4" t="inlineStr"/>
    </row>
    <row r="57">
      <c r="A57" s="13" t="inlineStr">
        <is>
          <t>04.02.03</t>
        </is>
      </c>
      <c r="B57" s="4" t="inlineStr">
        <is>
          <t>Filtro de sentido: el Validador puntúa y se eligen las 3-5 mejores</t>
        </is>
      </c>
      <c r="C57" s="4" t="inlineStr">
        <is>
          <t>Validador</t>
        </is>
      </c>
      <c r="D57" s="4" t="inlineStr">
        <is>
          <t>04.02.02</t>
        </is>
      </c>
      <c r="E57" s="4" t="inlineStr">
        <is>
          <t>Pendiente</t>
        </is>
      </c>
      <c r="F57" s="4" t="inlineStr"/>
      <c r="G57" s="4" t="inlineStr"/>
    </row>
    <row r="58">
      <c r="A58" s="13" t="inlineStr">
        <is>
          <t>04.02.04</t>
        </is>
      </c>
      <c r="B58" s="4" t="inlineStr">
        <is>
          <t>Pre-registro de variantes: cada hipótesis deja escritas sus variantes ANTES de probar (máx. 5-7 por hipótesis). Lo no registrado no se prueba</t>
        </is>
      </c>
      <c r="C58" s="4" t="inlineStr">
        <is>
          <t>Validador</t>
        </is>
      </c>
      <c r="D58" s="4" t="inlineStr">
        <is>
          <t>04.02.03</t>
        </is>
      </c>
      <c r="E58" s="4" t="inlineStr">
        <is>
          <t>Pendiente</t>
        </is>
      </c>
      <c r="F58" s="4" t="inlineStr"/>
      <c r="G58" s="4" t="inlineStr"/>
    </row>
    <row r="59">
      <c r="A59" s="38" t="inlineStr">
        <is>
          <t>04.03</t>
        </is>
      </c>
      <c r="B59" s="39" t="inlineStr">
        <is>
          <t>Laboratorio de pruebas (por hipótesis y variante)</t>
        </is>
      </c>
      <c r="C59" s="39" t="n"/>
      <c r="D59" s="39" t="n"/>
      <c r="E59" s="39" t="n"/>
      <c r="F59" s="39" t="n"/>
      <c r="G59" s="39" t="n"/>
    </row>
    <row r="60">
      <c r="A60" s="13" t="inlineStr">
        <is>
          <t>04.03.01</t>
        </is>
      </c>
      <c r="B60" s="4" t="inlineStr">
        <is>
          <t>Backtest con costes reales sobre el cajón de construir</t>
        </is>
      </c>
      <c r="C60" s="4" t="inlineStr">
        <is>
          <t>Constructores</t>
        </is>
      </c>
      <c r="D60" s="4" t="inlineStr">
        <is>
          <t>04.01.03, 04.02.04, 04.03.07</t>
        </is>
      </c>
      <c r="E60" s="4" t="inlineStr">
        <is>
          <t>Pendiente</t>
        </is>
      </c>
      <c r="F60" s="4" t="inlineStr"/>
      <c r="G60" s="4" t="inlineStr"/>
    </row>
    <row r="61">
      <c r="A61" s="13" t="inlineStr">
        <is>
          <t>04.03.02</t>
        </is>
      </c>
      <c r="B61" s="4" t="inlineStr">
        <is>
          <t>Ajuste SOLO con el cajón de validación; lo que no aguanta, muere aquí</t>
        </is>
      </c>
      <c r="C61" s="4" t="inlineStr">
        <is>
          <t>Constructores</t>
        </is>
      </c>
      <c r="D61" s="4" t="inlineStr">
        <is>
          <t>04.03.01</t>
        </is>
      </c>
      <c r="E61" s="4" t="inlineStr">
        <is>
          <t>Pendiente</t>
        </is>
      </c>
      <c r="F61" s="4" t="inlineStr"/>
      <c r="G61" s="4" t="inlineStr"/>
    </row>
    <row r="62">
      <c r="A62" s="13" t="inlineStr">
        <is>
          <t>04.03.03</t>
        </is>
      </c>
      <c r="B62" s="4" t="inlineStr">
        <is>
          <t>Prueba de fuego: UNA sola pasada por variante sobre el cajón reservado (OOS). Repetir sería hacerse trampa</t>
        </is>
      </c>
      <c r="C62" s="4" t="inlineStr">
        <is>
          <t>Validador</t>
        </is>
      </c>
      <c r="D62" s="4" t="inlineStr">
        <is>
          <t>04.03.02</t>
        </is>
      </c>
      <c r="E62" s="4" t="inlineStr">
        <is>
          <t>Pendiente</t>
        </is>
      </c>
      <c r="F62" s="4" t="inlineStr"/>
      <c r="G62" s="4" t="inlineStr"/>
    </row>
    <row r="63">
      <c r="A63" s="13" t="inlineStr">
        <is>
          <t>04.03.04</t>
        </is>
      </c>
      <c r="B63" s="4" t="inlineStr">
        <is>
          <t>Robustez: Monte Carlo (barajar el orden de operaciones y meter pequeños cambios miles de veces: ¿aguanta o era suerte?) + walk-forward (repetir el ajuste avanzando en el tiempo)</t>
        </is>
      </c>
      <c r="C63" s="4" t="inlineStr">
        <is>
          <t>Validador</t>
        </is>
      </c>
      <c r="D63" s="4" t="inlineStr">
        <is>
          <t>04.03.03</t>
        </is>
      </c>
      <c r="E63" s="4" t="inlineStr">
        <is>
          <t>Pendiente</t>
        </is>
      </c>
      <c r="F63" s="4" t="inlineStr"/>
      <c r="G63" s="4" t="inlineStr"/>
    </row>
    <row r="64">
      <c r="A64" s="13" t="inlineStr">
        <is>
          <t>04.03.05</t>
        </is>
      </c>
      <c r="B64" s="4" t="inlineStr">
        <is>
          <t>Veredicto pasa/no pasa por variante, con los criterios de G2. Quien construyó no vota</t>
        </is>
      </c>
      <c r="C64" s="4" t="inlineStr">
        <is>
          <t>Validador</t>
        </is>
      </c>
      <c r="D64" s="4" t="inlineStr">
        <is>
          <t>04.03.04</t>
        </is>
      </c>
      <c r="E64" s="4" t="inlineStr">
        <is>
          <t>Pendiente</t>
        </is>
      </c>
      <c r="F64" s="4" t="inlineStr"/>
      <c r="G64" s="4" t="inlineStr"/>
    </row>
    <row r="65">
      <c r="A65" s="13" t="inlineStr">
        <is>
          <t>04.03.06</t>
        </is>
      </c>
      <c r="B65" s="4" t="inlineStr">
        <is>
          <t>NUEVA 03/08 (decisión del CEO, opción B): especificación del motor de backtest propio, escrita para una construcción desde cero y no para un trasplante</t>
        </is>
      </c>
      <c r="C65" s="4" t="inlineStr">
        <is>
          <t>Arquitecto</t>
        </is>
      </c>
      <c r="D65" s="4" t="inlineStr">
        <is>
          <t>02.03.03</t>
        </is>
      </c>
      <c r="E65" s="4" t="inlineStr">
        <is>
          <t>Hecha</t>
        </is>
      </c>
      <c r="F65" s="4" t="inlineStr">
        <is>
          <t>04/08 — 03-motor/ESPECIFICACION_MOTOR_BACKTEST.md. 16 requisitos, cada uno con su prueba de aceptación ejecutable; 8 casos calculados a mano; 8 exclusiones motivadas y 7 huecos declarados. RECORRIDO: escrita por arquitecto a ciegas —declara no haber abierto 03-motor/backtester/, ni el commit 0c35959, ni /home/server/projects/gold-bot-2, y la prohibición se comprobó pidiéndole la lista de ficheros leídos—; RECHAZADA en ronda 1 por constructor-datos porque R-06(c) era una revisión a ojo y no una prueba ejecutable, más una atribución de fuente desajustada en R-13(b); el orquestador añadió un tercer defecto que la revisión no cazó: tres citas por número de línea en la sección 10, ya caducadas […] texto completo en 00-direccion/WBS.md</t>
        </is>
      </c>
      <c r="G65"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00-direccion/WBS.md</t>
        </is>
      </c>
    </row>
    <row r="66">
      <c r="A66" s="13" t="inlineStr">
        <is>
          <t>04.03.07</t>
        </is>
      </c>
      <c r="B66" s="4" t="inlineStr">
        <is>
          <t>NUEVA 03/08 (decisión del CEO, opción B): construir el motor de backtest desde cero contra la especificación de 04.03.06, tras retirar el anterior</t>
        </is>
      </c>
      <c r="C66" s="4" t="inlineStr">
        <is>
          <t>Constructor de motor</t>
        </is>
      </c>
      <c r="D66" s="4" t="inlineStr">
        <is>
          <t>04.03.06, 07.01.03</t>
        </is>
      </c>
      <c r="E66" s="4" t="inlineStr">
        <is>
          <t>Hecha</t>
        </is>
      </c>
      <c r="F66" s="4" t="inlineStr">
        <is>
          <t>04/08 — 03-motor/backtester/. Motor de backtest construido desde cero contra la especificación de 04.03.06. PROCEDENCIA, que era la pregunta que originó esta tarea: INDEPENDIENTE de las dos fuentes. Medido con el procedimiento pre-registrado del lote (d) de 07.01.03, bajo la segunda lectura de gb2 que autorizó el CEO en D-25: 0% de intersección de símbolos contra gb2 y contra el commit retirado 0c35959, con coincidencias de línea de 5,2-12,9% que son boilerplate (import pandas as pd, @dataclass, else:) y ninguna constante de calibración heredada. Contraste: 0c35959 disparaba 66,7% y 100% en ese mismo criterio. Reproducido de forma independiente por el orquestador. ADAPTACIÓN DEL […] texto completo en 00-direccion/WBS.md</t>
        </is>
      </c>
      <c r="G66"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00-direccion/WBS.md</t>
        </is>
      </c>
    </row>
    <row r="67">
      <c r="A67" s="38" t="inlineStr">
        <is>
          <t>04.04</t>
        </is>
      </c>
      <c r="B67" s="39" t="inlineStr">
        <is>
          <t>Decisión y bucle</t>
        </is>
      </c>
      <c r="C67" s="39" t="n"/>
      <c r="D67" s="39" t="n"/>
      <c r="E67" s="39" t="n"/>
      <c r="F67" s="39" t="n"/>
      <c r="G67" s="39" t="n"/>
    </row>
    <row r="68">
      <c r="A68" s="13" t="inlineStr">
        <is>
          <t>04.04.01</t>
        </is>
      </c>
      <c r="B68" s="4" t="inlineStr">
        <is>
          <t>Informe de la vuelta: qué pasó, qué murió y por qué. Registro de TODAS las pruebas, también fallidas</t>
        </is>
      </c>
      <c r="C68" s="4" t="inlineStr">
        <is>
          <t>Secretario</t>
        </is>
      </c>
      <c r="D68" s="4" t="inlineStr">
        <is>
          <t>04.03.05</t>
        </is>
      </c>
      <c r="E68" s="4" t="inlineStr">
        <is>
          <t>Pendiente</t>
        </is>
      </c>
      <c r="F68" s="4" t="inlineStr"/>
      <c r="G68" s="4" t="inlineStr"/>
    </row>
    <row r="69">
      <c r="A69" s="13" t="inlineStr">
        <is>
          <t>04.04.02</t>
        </is>
      </c>
      <c r="B69" s="4" t="inlineStr">
        <is>
          <t>Si ninguna pasa: volver a 04.02 con lecciones (vuelta 2, 3…). Tras la 3ª vuelta sin éxito: revisión completa del planteamiento con el CEO</t>
        </is>
      </c>
      <c r="C69" s="4" t="inlineStr">
        <is>
          <t>Orquestador</t>
        </is>
      </c>
      <c r="D69" s="4" t="inlineStr">
        <is>
          <t>04.04.01</t>
        </is>
      </c>
      <c r="E69" s="4" t="inlineStr">
        <is>
          <t>Pendiente</t>
        </is>
      </c>
      <c r="F69" s="4" t="inlineStr"/>
      <c r="G69" s="4" t="inlineStr"/>
    </row>
    <row r="70">
      <c r="A70" s="13" t="inlineStr">
        <is>
          <t>04.04.03</t>
        </is>
      </c>
      <c r="B70" s="4" t="inlineStr">
        <is>
          <t>PUERTA G2: el CEO decide qué pasa a demo</t>
        </is>
      </c>
      <c r="C70" s="28" t="inlineStr">
        <is>
          <t>CEO</t>
        </is>
      </c>
      <c r="D70" s="4" t="inlineStr">
        <is>
          <t>04.04.01</t>
        </is>
      </c>
      <c r="E70" s="4" t="inlineStr">
        <is>
          <t>Pendiente</t>
        </is>
      </c>
      <c r="F70" s="4" t="inlineStr"/>
      <c r="G70" s="4" t="inlineStr"/>
    </row>
    <row r="71" ht="20" customHeight="1">
      <c r="A71" s="36" t="inlineStr">
        <is>
          <t>05</t>
        </is>
      </c>
      <c r="B71" s="37" t="inlineStr">
        <is>
          <t>DEMO (PUERTA G3) — SE DETALLA AL CERRAR G2</t>
        </is>
      </c>
      <c r="C71" s="37" t="n"/>
      <c r="D71" s="37" t="n"/>
      <c r="E71" s="37" t="n"/>
      <c r="F71" s="37" t="n"/>
      <c r="G71" s="37" t="n"/>
    </row>
    <row r="72">
      <c r="A72" s="13" t="inlineStr">
        <is>
          <t>05.01.01</t>
        </is>
      </c>
      <c r="B72" s="4" t="inlineStr">
        <is>
          <t>Bot en demo, solo y con guardias automáticos</t>
        </is>
      </c>
      <c r="C72" s="4" t="inlineStr">
        <is>
          <t>Constructores</t>
        </is>
      </c>
      <c r="D72" s="4" t="inlineStr">
        <is>
          <t>04.04.03</t>
        </is>
      </c>
      <c r="E72" s="4" t="inlineStr">
        <is>
          <t>Pendiente</t>
        </is>
      </c>
      <c r="F72"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72" s="4" t="inlineStr"/>
    </row>
    <row r="73">
      <c r="A73" s="13" t="inlineStr">
        <is>
          <t>05.01.02</t>
        </is>
      </c>
      <c r="B73" s="4" t="inlineStr">
        <is>
          <t>Seguimiento semanal real vs. prometido (8-12 semanas)</t>
        </is>
      </c>
      <c r="C73" s="4" t="inlineStr">
        <is>
          <t>Secretario</t>
        </is>
      </c>
      <c r="D73" s="4" t="inlineStr">
        <is>
          <t>05.01.01</t>
        </is>
      </c>
      <c r="E73" s="4" t="inlineStr">
        <is>
          <t>Pendiente</t>
        </is>
      </c>
      <c r="F73" s="4" t="inlineStr"/>
      <c r="G73" s="4" t="inlineStr"/>
    </row>
    <row r="74">
      <c r="A74" s="13" t="inlineStr">
        <is>
          <t>05.01.03</t>
        </is>
      </c>
      <c r="B74" s="4" t="inlineStr">
        <is>
          <t>PUERTA G3: CEO decide dinero, cuánto y pérdida máxima</t>
        </is>
      </c>
      <c r="C74" s="28" t="inlineStr">
        <is>
          <t>CEO</t>
        </is>
      </c>
      <c r="D74" s="4" t="inlineStr">
        <is>
          <t>05.01.02</t>
        </is>
      </c>
      <c r="E74" s="4" t="inlineStr">
        <is>
          <t>Pendiente</t>
        </is>
      </c>
      <c r="F74" s="4" t="inlineStr"/>
      <c r="G74" s="4" t="inlineStr"/>
    </row>
    <row r="75" ht="20" customHeight="1">
      <c r="A75" s="36" t="inlineStr">
        <is>
          <t>06</t>
        </is>
      </c>
      <c r="B75" s="37" t="inlineStr">
        <is>
          <t>REAL (PUERTA G4) — SE DETALLA AL CERRAR G3</t>
        </is>
      </c>
      <c r="C75" s="37" t="n"/>
      <c r="D75" s="37" t="n"/>
      <c r="E75" s="37" t="n"/>
      <c r="F75" s="37" t="n"/>
      <c r="G75" s="37" t="n"/>
    </row>
    <row r="76">
      <c r="A76" s="13" t="inlineStr">
        <is>
          <t>06.01.01</t>
        </is>
      </c>
      <c r="B76" s="4" t="inlineStr">
        <is>
          <t>Dinero pequeño respetando los límites de 01.01.03</t>
        </is>
      </c>
      <c r="C76" s="4" t="inlineStr">
        <is>
          <t>Constructores</t>
        </is>
      </c>
      <c r="D76" s="4" t="inlineStr">
        <is>
          <t>05.01.03</t>
        </is>
      </c>
      <c r="E76" s="4" t="inlineStr">
        <is>
          <t>Pendiente</t>
        </is>
      </c>
      <c r="F76" s="4" t="inlineStr">
        <is>
          <t>limites ya escritos y firmados (D-14, 01/08): capital 1.000-2.000 €, AVISO a -25% del capital inicial que no para nada, PARADA DURA AUTOMATICA a -30% aplicada por el bot de forma continua y sin exencion activable desde dentro (regla 26 de CLAUDE.md).</t>
        </is>
      </c>
      <c r="G76" s="4" t="inlineStr"/>
    </row>
    <row r="77">
      <c r="A77" s="13" t="inlineStr">
        <is>
          <t>06.01.02</t>
        </is>
      </c>
      <c r="B77" s="4" t="inlineStr">
        <is>
          <t>PUERTA G4 mensual: seguir, ampliar o parar. Si pierde más de lo escrito, se para sin discusión</t>
        </is>
      </c>
      <c r="C77" s="28" t="inlineStr">
        <is>
          <t>CEO</t>
        </is>
      </c>
      <c r="D77" s="4" t="inlineStr">
        <is>
          <t>06.01.01</t>
        </is>
      </c>
      <c r="E77" s="4" t="inlineStr">
        <is>
          <t>Pendiente</t>
        </is>
      </c>
      <c r="F77" s="4" t="inlineStr"/>
      <c r="G77" s="4" t="inlineStr"/>
    </row>
    <row r="78" ht="20" customHeight="1">
      <c r="A78" s="36" t="inlineStr">
        <is>
          <t>07</t>
        </is>
      </c>
      <c r="B78" s="37" t="inlineStr">
        <is>
          <t>MOTOR Y ORDEN (PARALELA; MÁX. 20% DEL ESFUERZO SEMANAL)</t>
        </is>
      </c>
      <c r="C78" s="37" t="n"/>
      <c r="D78" s="37" t="n"/>
      <c r="E78" s="37" t="n"/>
      <c r="F78" s="37" t="n"/>
      <c r="G78" s="37" t="n"/>
    </row>
    <row r="79">
      <c r="A79" s="13" t="inlineStr">
        <is>
          <t>07.01.01</t>
        </is>
      </c>
      <c r="B79" s="4" t="inlineStr">
        <is>
          <t>Carpetas y documentos en orden; una fuente de verdad por tema; lo sustituido se borra</t>
        </is>
      </c>
      <c r="C79" s="4" t="inlineStr">
        <is>
          <t>Constructores</t>
        </is>
      </c>
      <c r="D79" s="4" t="inlineStr">
        <is>
          <t>03.01.01</t>
        </is>
      </c>
      <c r="E79" s="4" t="inlineStr">
        <is>
          <t>Pendiente</t>
        </is>
      </c>
      <c r="F79" s="4" t="inlineStr"/>
      <c r="G79"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00-direccion/WBS.md</t>
        </is>
      </c>
    </row>
    <row r="80">
      <c r="A80" s="13" t="inlineStr">
        <is>
          <t>07.01.03</t>
        </is>
      </c>
      <c r="B80" s="4" t="inlineStr">
        <is>
          <t>NUEVA 03/08 (incidente de proceso): auditar todo lo escrito el 03/08/2026 entre las 21:44 y las 21:58 sin flujo de cuatro capas, y el residuo sin commitear del tramo anterior</t>
        </is>
      </c>
      <c r="C80" s="4" t="inlineStr">
        <is>
          <t>Orquestador</t>
        </is>
      </c>
      <c r="D80" s="4" t="inlineStr">
        <is>
          <t>—</t>
        </is>
      </c>
      <c r="E80" s="4" t="inlineStr">
        <is>
          <t>En curso</t>
        </is>
      </c>
      <c r="F80" s="4" t="inlineStr">
        <is>
          <t>2ª AMPLIACIÓN 03/08, decisión del CEO — opción B: el motor de backtest se tira y se construye de cero. Consecuencias sobre esta tarea: los lotes (e1) y (e2) de aptitud QUEDAN CANCELADOS — juzgar si sirve un código que se borra es gastar la verificación en un cadáver. No se pierde su contenido: su eje A3, que no juzgaba al motor viejo sino que describía qué debe hacer cualquier motor para servir a D-19, migra íntegro a la especificación nueva (tarea 04.03.06). El lote (d) SE MANTIENE, recortado a la medición mecánica, por tres motivos: D-21 afirma en un registro de solo-añadir que no se copió una sola línea de gb2 y esa mitad sigue sin comprobar; la autorización de una sola apertura que dio […] texto completo en 00-direccion/WBS.md</t>
        </is>
      </c>
      <c r="G80"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00-direccion/WBS.md</t>
        </is>
      </c>
    </row>
    <row r="81">
      <c r="A81" s="13" t="inlineStr">
        <is>
          <t>07.01.02</t>
        </is>
      </c>
      <c r="B81" s="4" t="inlineStr">
        <is>
          <t>Mejoras del motor: SOLO tareas aprobadas en revisión semanal (el motor no manda)</t>
        </is>
      </c>
      <c r="C81" s="4" t="inlineStr">
        <is>
          <t>Constructores</t>
        </is>
      </c>
      <c r="D81" s="4" t="inlineStr">
        <is>
          <t>03.01.02</t>
        </is>
      </c>
      <c r="E81" s="4" t="inlineStr">
        <is>
          <t>Pendiente</t>
        </is>
      </c>
      <c r="F81" s="4" t="inlineStr"/>
      <c r="G81" s="4" t="inlineStr"/>
    </row>
  </sheetData>
  <autoFilter ref="A4:G81"/>
  <mergeCells count="2">
    <mergeCell ref="A2:G2"/>
    <mergeCell ref="A1:G1"/>
  </mergeCells>
  <conditionalFormatting sqref="E5:E81">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81"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29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Los códigos son estables: una tarea empezada no se renumera jamás.</t>
        </is>
      </c>
    </row>
    <row r="8">
      <c r="A8" s="5" t="n">
        <v>4</v>
      </c>
      <c r="B8" s="4" t="inlineStr">
        <is>
          <t>Se va en orden salvo las marcadas paralelas. Una tarea no se cierra sin cumplir su criterio de "hecho".</t>
        </is>
      </c>
    </row>
    <row r="9">
      <c r="A9" s="5" t="n">
        <v>5</v>
      </c>
      <c r="B9" s="4" t="inlineStr">
        <is>
          <t>La ficha de una tarea se escribe en la cola ANTES de trabajarla, nunca al cerrarla. Sin ficha, no hay tarea.</t>
        </is>
      </c>
    </row>
    <row r="10">
      <c r="A10" s="5" t="n">
        <v>6</v>
      </c>
      <c r="B10" s="4" t="inlineStr">
        <is>
          <t>Regla de no-ambigüedad: toda tarea debe poder ejecutarse sin adivinar nada. Si tienes que suponer algo, devuelve la tarea al orquestador para que la reescriba. No supongas.</t>
        </is>
      </c>
    </row>
    <row r="11">
      <c r="A11" s="5" t="n">
        <v>7</v>
      </c>
      <c r="B11" s="4" t="inlineStr">
        <is>
          <t>Cada tirada autónoma cierra al menos una tarea que avanza el PRODUCTO. La infraestructura que no desbloquee mecánicamente una tarea de producto se registra como deuda y no se ejecuta sin permiso del CEO.</t>
        </is>
      </c>
    </row>
    <row r="12">
      <c r="A12" s="5" t="n">
        <v>8</v>
      </c>
      <c r="B12" s="4" t="inlineStr">
        <is>
          <t>El trabajo de motor y orden tiene un techo del 20% del esfuerzo semanal. Si en una tirada solo hay tareas de motor disponibles, para y avisa: es señal de que la cola está mal llena.</t>
        </is>
      </c>
    </row>
    <row r="13">
      <c r="A13" s="5" t="n">
        <v>9</v>
      </c>
      <c r="B13" s="4" t="inlineStr">
        <is>
          <t>Jerarquía de la prueba. Ninguna afirmación se acepta por consenso entre agentes:</t>
        </is>
      </c>
    </row>
    <row r="14">
      <c r="A14" s="5" t="n">
        <v>10</v>
      </c>
      <c r="B14" s="4" t="inlineStr">
        <is>
          <t>Quien discrepa aporta el experimento que zanjaría la discusión, no otro argumento. Si no hay experimento posible, sube al CEO marcado como no probado.</t>
        </is>
      </c>
    </row>
    <row r="15">
      <c r="A15" s="5" t="n">
        <v>11</v>
      </c>
      <c r="B15" s="4" t="inlineStr">
        <is>
          <t>Un fallo reportado por un agente no es un fallo verificado. Antes de encolar o reparar: lee el componente y reproduce el fallo.</t>
        </is>
      </c>
    </row>
    <row r="16">
      <c r="A16" s="5" t="n">
        <v>12</v>
      </c>
      <c r="B16" s="4" t="inlineStr">
        <is>
          <t>Ninguna referencia a una decisión entra en código o informe sin un grep previo que la localice por fichero y línea. Solo se cita lo firmado y guardado, nunca en pasado ni antes de existir.</t>
        </is>
      </c>
    </row>
    <row r="17">
      <c r="A17" s="5" t="n">
        <v>13</v>
      </c>
      <c r="B17" s="4" t="inlineStr">
        <is>
          <t>Se referencia por nombre de símbolo, nunca por número de línea.</t>
        </is>
      </c>
    </row>
    <row r="18">
      <c r="A18" s="5" t="n">
        <v>14</v>
      </c>
      <c r="B18" s="4" t="inlineStr">
        <is>
          <t>Todo dato numérico se calcula sobre datos brutos, salvo que exista una fuente primaria homogénea demostrable.</t>
        </is>
      </c>
    </row>
    <row r="19">
      <c r="A19" s="5" t="n">
        <v>15</v>
      </c>
      <c r="B19" s="4" t="inlineStr">
        <is>
          <t>Quien implementa ejecuta y lee su artefacto completo antes de entregar. Las puertas confirman, no descubren.</t>
        </is>
      </c>
    </row>
    <row r="20">
      <c r="A20" s="5" t="n">
        <v>16</v>
      </c>
      <c r="B20" s="4" t="inlineStr">
        <is>
          <t>Nadie valida su propio trabajo. Quien construye no revisa; quien produce las métricas no firma el veredicto.</t>
        </is>
      </c>
    </row>
    <row r="21">
      <c r="A21" s="5" t="n">
        <v>17</v>
      </c>
      <c r="B21" s="4" t="inlineStr">
        <is>
          <t>Éxito = código fiel a la especificación, NO estrategia rentable. Un backtest con mal resultado y código correcto es un éxito registrable.</t>
        </is>
      </c>
    </row>
    <row r="22">
      <c r="A22" s="5" t="n">
        <v>18</v>
      </c>
      <c r="B22" s="4" t="inlineStr">
        <is>
          <t>Test de compuerta: si la justificación de un cambio no se sostiene sin citar métricas de resultado, se deniega.</t>
        </is>
      </c>
    </row>
    <row r="23">
      <c r="A23" s="5" t="n">
        <v>19</v>
      </c>
      <c r="B23" s="4" t="inlineStr">
        <is>
          <t>Pre-registro: ninguna variante se prueba sin estar registrada antes (máx. 5-7 por hipótesis). Lo no registrado no se prueba.</t>
        </is>
      </c>
    </row>
    <row r="24">
      <c r="A24" s="5" t="n">
        <v>20</v>
      </c>
      <c r="B24" s="4" t="inlineStr">
        <is>
          <t>Se guardan TODAS las pruebas, también las fallidas. Saber cuántas cosas se probaron es lo que permite juzgar si la ganadora es real o casualidad.</t>
        </is>
      </c>
    </row>
    <row r="25">
      <c r="A25" s="5" t="n">
        <v>21</v>
      </c>
      <c r="B25" s="4" t="inlineStr">
        <is>
          <t>Registros que solo permiten añadir: 04-resultados/registro-pruebas.md y 00-direccion/DECISIONES.md nunca se reescriben. Una corrección es una entrada nueva.</t>
        </is>
      </c>
    </row>
    <row r="26">
      <c r="A26" s="5" t="n">
        <v>22</v>
      </c>
      <c r="B26" s="4" t="inlineStr">
        <is>
          <t>El cajón 02-datos/reservado/ no se abre. Solo el CEO puede autorizar su uso, una vez por variante. Ningún agente, ningún debate, ninguna urgencia.</t>
        </is>
      </c>
    </row>
    <row r="27">
      <c r="A27" s="5" t="n">
        <v>23</v>
      </c>
      <c r="B27" s="4" t="inlineStr">
        <is>
          <t>Dos niveles. Lo REVERSIBLE (archivos, código, pruebas) tiene permisos amplios: git lo deshace. Lo IRREVERSIBLE (dinero real, órdenes al broker, borrar el cajón reservado, gastar dinero nuevo) lleva barrera desde el minuto uno.</t>
        </is>
      </c>
    </row>
    <row r="28">
      <c r="A28" s="5" t="n">
        <v>24</v>
      </c>
      <c r="B28" s="4" t="inlineStr">
        <is>
          <t>Una restricción solo se añade tras un incidente real, anotada junto al incidente, y se revisa cada mes. La que no tenga incidente vivo detrás, se quita.</t>
        </is>
      </c>
    </row>
    <row r="29">
      <c r="A29" s="5" t="n">
        <v>25</v>
      </c>
      <c r="B29" s="4" t="inlineStr">
        <is>
          <t>Toda barrera se verifica por ejecución —inyectando el caso prohibido— antes de documentarla como activa. Sin prueba: "no verificada". Un guardia presente en el código no es un guardia probado.</t>
        </is>
      </c>
    </row>
    <row r="30">
      <c r="A30" s="5" t="n">
        <v>26</v>
      </c>
      <c r="B30" s="4" t="inlineStr">
        <is>
          <t>Los guardias bloquean por defecto. La condición que activa una exención debe ser un hecho impuesto por el sistema, nunca un dato que elija el vigilado.</t>
        </is>
      </c>
    </row>
    <row r="31">
      <c r="A31" s="5" t="n">
        <v>27</v>
      </c>
      <c r="B31" s="4" t="inlineStr">
        <is>
          <t>Los datos nunca entran en git. Se descargan con script. Comprobar el día 1 que .gitignore funciona de verdad.</t>
        </is>
      </c>
    </row>
    <row r="32">
      <c r="A32" s="5" t="n">
        <v>28</v>
      </c>
      <c r="B32" s="4" t="inlineStr">
        <is>
          <t>Una sola fuente de verdad por tema. Documento que se sustituye, se borra: git guarda el historial.</t>
        </is>
      </c>
    </row>
    <row r="33">
      <c r="A33" s="5" t="n">
        <v>29</v>
      </c>
      <c r="B33"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(27)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(36)</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3 vueltas del bucle de hipótesis sin éxito.</t>
        </is>
      </c>
    </row>
    <row r="7">
      <c r="A7" s="40" t="inlineStr">
        <is>
          <t>Llega al CEO solo en una puerta</t>
        </is>
      </c>
      <c r="B7" s="4" t="inlineStr">
        <is>
          <t>cambiar de mercado, de tamaño de vela o de planteamiento.</t>
        </is>
      </c>
    </row>
    <row r="9">
      <c r="A9" s="15" t="inlineStr">
        <is>
          <t>FORMATO OBLIGATORIO DE FICHA DE DECISION (regla 10)</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2026-08-05T20:44:48Z</dcterms:created>
  <dcterms:modified xsi:type="dcterms:W3CDTF">2026-08-05T20:44:48Z</dcterms:modified>
</cp:coreProperties>
</file>