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EL" sheetId="1" state="visible" r:id="rId1"/>
    <sheet name="SIGUIENTE" sheetId="2" state="visible" r:id="rId2"/>
    <sheet name="TAREAS" sheetId="3" state="visible" r:id="rId3"/>
    <sheet name="CALENDARIO" sheetId="4" state="visible" r:id="rId4"/>
    <sheet name="PUERTAS" sheetId="5" state="visible" r:id="rId5"/>
    <sheet name="EQUIPO" sheetId="6" state="visible" r:id="rId6"/>
    <sheet name="REGLAS" sheetId="7" state="visible" r:id="rId7"/>
    <sheet name="DECISIONES" sheetId="8" state="visible" r:id="rId8"/>
    <sheet name="LECCIONES" sheetId="9" state="visible" r:id="rId9"/>
    <sheet name="AUTONOMIA" sheetId="10" state="visible" r:id="rId10"/>
    <sheet name="LIMITES CEO" sheetId="11" state="visible" r:id="rId11"/>
  </sheets>
  <definedNames>
    <definedName name="_xlnm._FilterDatabase" localSheetId="2" hidden="1">'TAREAS'!$A$4:$G$77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sz val="11"/>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4472C4"/>
      </patternFill>
    </fill>
    <fill>
      <patternFill patternType="solid">
        <fgColor rgb="00FCE4D6"/>
      </patternFill>
    </fill>
    <fill>
      <patternFill patternType="solid">
        <fgColor rgb="00FFEB9C"/>
      </patternFill>
    </fill>
    <fill>
      <patternFill patternType="solid">
        <fgColor rgb="00C6EFCE"/>
      </patternFill>
    </fill>
    <fill>
      <patternFill patternType="solid">
        <fgColor rgb="00FFC7CE"/>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vertical="center"/>
    </xf>
    <xf numFmtId="0" fontId="0" fillId="2" borderId="0" pivotButton="0" quotePrefix="0" xfId="0"/>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pivotButton="0" quotePrefix="0" xfId="0"/>
    <xf numFmtId="0" fontId="5" fillId="3"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0" pivotButton="0" quotePrefix="0" xfId="0"/>
    <xf numFmtId="0" fontId="0" fillId="0" borderId="4" pivotButton="0" quotePrefix="0" xfId="0"/>
    <xf numFmtId="0" fontId="0" fillId="0" borderId="5" pivotButton="0" quotePrefix="0" xfId="0"/>
    <xf numFmtId="49" fontId="4" fillId="0" borderId="1" applyAlignment="1" pivotButton="0" quotePrefix="0" xfId="0">
      <alignment vertical="top" wrapText="1"/>
    </xf>
    <xf numFmtId="0" fontId="4" fillId="7" borderId="1" applyAlignment="1" pivotButton="0" quotePrefix="0" xfId="0">
      <alignment horizontal="center" vertical="center" wrapText="1"/>
    </xf>
    <xf numFmtId="0" fontId="5" fillId="0" borderId="0" pivotButton="0" quotePrefix="0" xfId="0"/>
    <xf numFmtId="0" fontId="4" fillId="0" borderId="0" applyAlignment="1" pivotButton="0" quotePrefix="0" xfId="0">
      <alignment vertical="top" wrapText="1"/>
    </xf>
    <xf numFmtId="0" fontId="4" fillId="8" borderId="1" pivotButton="0" quotePrefix="0" xfId="0"/>
    <xf numFmtId="0" fontId="4" fillId="7" borderId="1" pivotButton="0" quotePrefix="0" xfId="0"/>
    <xf numFmtId="0" fontId="4" fillId="0" borderId="1" pivotButton="0" quotePrefix="0" xfId="0"/>
    <xf numFmtId="0" fontId="4" fillId="9" borderId="1" pivotButton="0" quotePrefix="0" xfId="0"/>
    <xf numFmtId="0" fontId="2" fillId="3" borderId="0" applyAlignment="1" pivotButton="0" quotePrefix="0" xfId="0">
      <alignment vertical="top" wrapText="1"/>
    </xf>
    <xf numFmtId="0" fontId="0" fillId="3" borderId="0" pivotButton="0" quotePrefix="0" xfId="0"/>
    <xf numFmtId="0" fontId="6" fillId="7" borderId="1" applyAlignment="1" pivotButton="0" quotePrefix="0" xfId="0">
      <alignment vertical="top" wrapText="1"/>
    </xf>
    <xf numFmtId="0" fontId="0" fillId="7"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0" fontId="4" fillId="6"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4" fillId="9" borderId="1" applyAlignment="1" pivotButton="0" quotePrefix="0" xfId="0">
      <alignment vertical="top" wrapText="1"/>
    </xf>
    <xf numFmtId="0" fontId="3" fillId="5" borderId="1" pivotButton="0" quotePrefix="0" xfId="0"/>
    <xf numFmtId="49"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0" applyAlignment="1" pivotButton="0" quotePrefix="0" xfId="0">
      <alignment vertical="top" wrapText="1"/>
    </xf>
    <xf numFmtId="49" fontId="3" fillId="5" borderId="1" applyAlignment="1" pivotButton="0" quotePrefix="0" xfId="0">
      <alignment vertical="top" wrapText="1"/>
    </xf>
    <xf numFmtId="0" fontId="3" fillId="5" borderId="1" applyAlignment="1" pivotButton="0" quotePrefix="0" xfId="0">
      <alignment vertical="top" wrapText="1"/>
    </xf>
    <xf numFmtId="49" fontId="5" fillId="3"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36" customWidth="1" min="1" max="1"/>
    <col width="10" customWidth="1" min="2" max="2"/>
    <col width="10" customWidth="1" min="3" max="3"/>
    <col width="11" customWidth="1" min="4" max="4"/>
    <col width="12" customWidth="1" min="5" max="5"/>
    <col width="12" customWidth="1" min="6" max="6"/>
    <col width="14" customWidth="1" min="7" max="7"/>
  </cols>
  <sheetData>
    <row r="1" ht="24" customHeight="1">
      <c r="A1" s="1" t="inlineStr">
        <is>
          <t>PANEL — BOT DE TRADING · puerta del mes (GM): 1 de septiembre de 2026</t>
        </is>
      </c>
      <c r="B1" s="2" t="n"/>
      <c r="C1" s="2" t="n"/>
      <c r="D1" s="2" t="n"/>
      <c r="E1" s="2" t="n"/>
      <c r="F1" s="2" t="n"/>
      <c r="G1" s="2" t="n"/>
    </row>
    <row r="3" ht="28" customHeight="1">
      <c r="A3" s="3" t="inlineStr">
        <is>
          <t>FASE</t>
        </is>
      </c>
      <c r="B3" s="3" t="inlineStr">
        <is>
          <t>TAREAS</t>
        </is>
      </c>
      <c r="C3" s="3" t="inlineStr">
        <is>
          <t>HECHAS</t>
        </is>
      </c>
      <c r="D3" s="3" t="inlineStr">
        <is>
          <t>EN CURSO</t>
        </is>
      </c>
      <c r="E3" s="3" t="inlineStr">
        <is>
          <t>PENDIENTES</t>
        </is>
      </c>
      <c r="F3" s="3" t="inlineStr">
        <is>
          <t>BLOQUEADAS</t>
        </is>
      </c>
      <c r="G3" s="3" t="inlineStr">
        <is>
          <t>% AVANCE</t>
        </is>
      </c>
    </row>
    <row r="4">
      <c r="A4" s="4" t="inlineStr">
        <is>
          <t>01. Arranque</t>
        </is>
      </c>
      <c r="B4" s="5">
        <f>COUNTIFS(TAREAS!$A$5:$A$77,"01.??.??")</f>
        <v/>
      </c>
      <c r="C4" s="5">
        <f>COUNTIFS(TAREAS!$A$5:$A$77,"01.??.??",TAREAS!$E$5:$E$77,"Hecha")</f>
        <v/>
      </c>
      <c r="D4" s="5">
        <f>COUNTIFS(TAREAS!$A$5:$A$77,"01.??.??",TAREAS!$E$5:$E$77,"En curso")</f>
        <v/>
      </c>
      <c r="E4" s="5">
        <f>COUNTIFS(TAREAS!$A$5:$A$77,"01.??.??",TAREAS!$E$5:$E$77,"Pendiente")</f>
        <v/>
      </c>
      <c r="F4" s="5">
        <f>COUNTIFS(TAREAS!$A$5:$A$77,"01.??.??",TAREAS!$E$5:$E$77,"Bloqueada")</f>
        <v/>
      </c>
      <c r="G4" s="6">
        <f>IFERROR(C4/B4,0)</f>
        <v/>
      </c>
    </row>
    <row r="5">
      <c r="A5" s="4" t="inlineStr">
        <is>
          <t>02. Elegir mercado y tamaño de vela</t>
        </is>
      </c>
      <c r="B5" s="5">
        <f>COUNTIFS(TAREAS!$A$5:$A$77,"02.??.??")</f>
        <v/>
      </c>
      <c r="C5" s="5">
        <f>COUNTIFS(TAREAS!$A$5:$A$77,"02.??.??",TAREAS!$E$5:$E$77,"Hecha")</f>
        <v/>
      </c>
      <c r="D5" s="5">
        <f>COUNTIFS(TAREAS!$A$5:$A$77,"02.??.??",TAREAS!$E$5:$E$77,"En curso")</f>
        <v/>
      </c>
      <c r="E5" s="5">
        <f>COUNTIFS(TAREAS!$A$5:$A$77,"02.??.??",TAREAS!$E$5:$E$77,"Pendiente")</f>
        <v/>
      </c>
      <c r="F5" s="5">
        <f>COUNTIFS(TAREAS!$A$5:$A$77,"02.??.??",TAREAS!$E$5:$E$77,"Bloqueada")</f>
        <v/>
      </c>
      <c r="G5" s="6">
        <f>IFERROR(C5/B5,0)</f>
        <v/>
      </c>
    </row>
    <row r="6">
      <c r="A6" s="4" t="inlineStr">
        <is>
          <t>03. Montar la casa</t>
        </is>
      </c>
      <c r="B6" s="5">
        <f>COUNTIFS(TAREAS!$A$5:$A$77,"03.??.??")</f>
        <v/>
      </c>
      <c r="C6" s="5">
        <f>COUNTIFS(TAREAS!$A$5:$A$77,"03.??.??",TAREAS!$E$5:$E$77,"Hecha")</f>
        <v/>
      </c>
      <c r="D6" s="5">
        <f>COUNTIFS(TAREAS!$A$5:$A$77,"03.??.??",TAREAS!$E$5:$E$77,"En curso")</f>
        <v/>
      </c>
      <c r="E6" s="5">
        <f>COUNTIFS(TAREAS!$A$5:$A$77,"03.??.??",TAREAS!$E$5:$E$77,"Pendiente")</f>
        <v/>
      </c>
      <c r="F6" s="5">
        <f>COUNTIFS(TAREAS!$A$5:$A$77,"03.??.??",TAREAS!$E$5:$E$77,"Bloqueada")</f>
        <v/>
      </c>
      <c r="G6" s="6">
        <f>IFERROR(C6/B6,0)</f>
        <v/>
      </c>
    </row>
    <row r="7">
      <c r="A7" s="4" t="inlineStr">
        <is>
          <t>04. Hipótesis y validación</t>
        </is>
      </c>
      <c r="B7" s="5">
        <f>COUNTIFS(TAREAS!$A$5:$A$77,"04.??.??")</f>
        <v/>
      </c>
      <c r="C7" s="5">
        <f>COUNTIFS(TAREAS!$A$5:$A$77,"04.??.??",TAREAS!$E$5:$E$77,"Hecha")</f>
        <v/>
      </c>
      <c r="D7" s="5">
        <f>COUNTIFS(TAREAS!$A$5:$A$77,"04.??.??",TAREAS!$E$5:$E$77,"En curso")</f>
        <v/>
      </c>
      <c r="E7" s="5">
        <f>COUNTIFS(TAREAS!$A$5:$A$77,"04.??.??",TAREAS!$E$5:$E$77,"Pendiente")</f>
        <v/>
      </c>
      <c r="F7" s="5">
        <f>COUNTIFS(TAREAS!$A$5:$A$77,"04.??.??",TAREAS!$E$5:$E$77,"Bloqueada")</f>
        <v/>
      </c>
      <c r="G7" s="6">
        <f>IFERROR(C7/B7,0)</f>
        <v/>
      </c>
    </row>
    <row r="8">
      <c r="A8" s="4" t="inlineStr">
        <is>
          <t>05. Demo</t>
        </is>
      </c>
      <c r="B8" s="5">
        <f>COUNTIFS(TAREAS!$A$5:$A$77,"05.??.??")</f>
        <v/>
      </c>
      <c r="C8" s="5">
        <f>COUNTIFS(TAREAS!$A$5:$A$77,"05.??.??",TAREAS!$E$5:$E$77,"Hecha")</f>
        <v/>
      </c>
      <c r="D8" s="5">
        <f>COUNTIFS(TAREAS!$A$5:$A$77,"05.??.??",TAREAS!$E$5:$E$77,"En curso")</f>
        <v/>
      </c>
      <c r="E8" s="5">
        <f>COUNTIFS(TAREAS!$A$5:$A$77,"05.??.??",TAREAS!$E$5:$E$77,"Pendiente")</f>
        <v/>
      </c>
      <c r="F8" s="5">
        <f>COUNTIFS(TAREAS!$A$5:$A$77,"05.??.??",TAREAS!$E$5:$E$77,"Bloqueada")</f>
        <v/>
      </c>
      <c r="G8" s="6">
        <f>IFERROR(C8/B8,0)</f>
        <v/>
      </c>
    </row>
    <row r="9">
      <c r="A9" s="4" t="inlineStr">
        <is>
          <t>06. Real</t>
        </is>
      </c>
      <c r="B9" s="5">
        <f>COUNTIFS(TAREAS!$A$5:$A$77,"06.??.??")</f>
        <v/>
      </c>
      <c r="C9" s="5">
        <f>COUNTIFS(TAREAS!$A$5:$A$77,"06.??.??",TAREAS!$E$5:$E$77,"Hecha")</f>
        <v/>
      </c>
      <c r="D9" s="5">
        <f>COUNTIFS(TAREAS!$A$5:$A$77,"06.??.??",TAREAS!$E$5:$E$77,"En curso")</f>
        <v/>
      </c>
      <c r="E9" s="5">
        <f>COUNTIFS(TAREAS!$A$5:$A$77,"06.??.??",TAREAS!$E$5:$E$77,"Pendiente")</f>
        <v/>
      </c>
      <c r="F9" s="5">
        <f>COUNTIFS(TAREAS!$A$5:$A$77,"06.??.??",TAREAS!$E$5:$E$77,"Bloqueada")</f>
        <v/>
      </c>
      <c r="G9" s="6">
        <f>IFERROR(C9/B9,0)</f>
        <v/>
      </c>
    </row>
    <row r="10">
      <c r="A10" s="4" t="inlineStr">
        <is>
          <t>07. Motor y orden</t>
        </is>
      </c>
      <c r="B10" s="5">
        <f>COUNTIFS(TAREAS!$A$5:$A$77,"07.??.??")</f>
        <v/>
      </c>
      <c r="C10" s="5">
        <f>COUNTIFS(TAREAS!$A$5:$A$77,"07.??.??",TAREAS!$E$5:$E$77,"Hecha")</f>
        <v/>
      </c>
      <c r="D10" s="5">
        <f>COUNTIFS(TAREAS!$A$5:$A$77,"07.??.??",TAREAS!$E$5:$E$77,"En curso")</f>
        <v/>
      </c>
      <c r="E10" s="5">
        <f>COUNTIFS(TAREAS!$A$5:$A$77,"07.??.??",TAREAS!$E$5:$E$77,"Pendiente")</f>
        <v/>
      </c>
      <c r="F10" s="5">
        <f>COUNTIFS(TAREAS!$A$5:$A$77,"07.??.??",TAREAS!$E$5:$E$77,"Bloqueada")</f>
        <v/>
      </c>
      <c r="G10" s="6">
        <f>IFERROR(C10/B10,0)</f>
        <v/>
      </c>
    </row>
    <row r="11">
      <c r="A11" s="7" t="inlineStr">
        <is>
          <t>TOTAL PROYECTO</t>
        </is>
      </c>
      <c r="B11" s="8">
        <f>SUM(B4:B10)</f>
        <v/>
      </c>
      <c r="C11" s="8">
        <f>SUM(C4:C10)</f>
        <v/>
      </c>
      <c r="D11" s="8">
        <f>SUM(D4:D10)</f>
        <v/>
      </c>
      <c r="E11" s="8">
        <f>SUM(E4:E10)</f>
        <v/>
      </c>
      <c r="F11" s="8">
        <f>SUM(F4:F10)</f>
        <v/>
      </c>
      <c r="G11" s="9">
        <f>IFERROR(C11/B11,0)</f>
        <v/>
      </c>
    </row>
    <row r="13">
      <c r="A13" s="10" t="inlineStr">
        <is>
          <t>ESTADO DE HOY (leido de WBS.md)</t>
        </is>
      </c>
    </row>
    <row r="14" ht="28" customHeight="1">
      <c r="A14" s="3" t="inlineStr">
        <is>
          <t>CODIGO</t>
        </is>
      </c>
      <c r="B14" s="3" t="inlineStr">
        <is>
          <t>TAREA</t>
        </is>
      </c>
      <c r="C14" s="11" t="n"/>
      <c r="D14" s="11" t="n"/>
      <c r="E14" s="11" t="n"/>
      <c r="F14" s="12" t="n"/>
      <c r="G14" s="3" t="inlineStr">
        <is>
          <t>ESTADO</t>
        </is>
      </c>
    </row>
    <row r="15">
      <c r="A15" s="13" t="inlineStr">
        <is>
          <t>03.01.08</t>
        </is>
      </c>
      <c r="B15" s="4" t="inlineStr">
        <is>
          <t>Prueba de fuego de las barreras (regla 25 de CLAUDE.md): inyectar cada caso prohibido —leer el cajón reservado, escribir fuera del proyecto, borrar datos, gastar dinero— y comprobar que se bloquea de verdad. Lo que no se bloquee se marca "no verificada"</t>
        </is>
      </c>
      <c r="C15" s="4" t="n"/>
      <c r="D15" s="4" t="n"/>
      <c r="E15" s="4" t="n"/>
      <c r="F15" s="4" t="n"/>
      <c r="G15" s="14" t="inlineStr">
        <is>
          <t>En curso</t>
        </is>
      </c>
    </row>
    <row r="16">
      <c r="A16" s="13" t="inlineStr">
        <is>
          <t>03.01.11</t>
        </is>
      </c>
      <c r="B16" s="4" t="inlineStr">
        <is>
          <t>NUEVA 31/07 (D-10): guardia del cajon reservado por cifrado. Script cajon_reservado.py: la contraseña solo la tiene el CEO, no se guarda, se pide en cada operacion y nada se descifra a disco</t>
        </is>
      </c>
      <c r="C16" s="4" t="n"/>
      <c r="D16" s="4" t="n"/>
      <c r="E16" s="4" t="n"/>
      <c r="F16" s="4" t="n"/>
      <c r="G16" s="14" t="inlineStr">
        <is>
          <t>En curso</t>
        </is>
      </c>
    </row>
    <row r="17">
      <c r="A17" s="13" t="inlineStr">
        <is>
          <t>03.01.23</t>
        </is>
      </c>
      <c r="B17" s="4" t="inlineStr">
        <is>
          <t>Encadenador de trabajo desatendido: una conversación por tarea</t>
        </is>
      </c>
      <c r="C17" s="4" t="n"/>
      <c r="D17" s="4" t="n"/>
      <c r="E17" s="4" t="n"/>
      <c r="F17" s="4" t="n"/>
      <c r="G17" s="14" t="inlineStr">
        <is>
          <t>En curso</t>
        </is>
      </c>
    </row>
    <row r="18">
      <c r="A18" s="13" t="inlineStr">
        <is>
          <t>04.01.01</t>
        </is>
      </c>
      <c r="B18" s="4" t="inlineStr">
        <is>
          <t>Comparar 3-4 brokers del mercado elegido; elegir uno y abrir demo (CEO firma)</t>
        </is>
      </c>
      <c r="C18" s="4" t="n"/>
      <c r="D18" s="4" t="n"/>
      <c r="E18" s="4" t="n"/>
      <c r="F18" s="4" t="n"/>
      <c r="G18" s="14" t="inlineStr">
        <is>
          <t>En curso</t>
        </is>
      </c>
    </row>
    <row r="19">
      <c r="A19" s="13" t="inlineStr">
        <is>
          <t>04.01.04</t>
        </is>
      </c>
      <c r="B19" s="4" t="inlineStr">
        <is>
          <t>NUEVA 09/08 (subtarea dentro del alcance de 04.01.01, creada por el orquestador, regla 2 de CLAUDE.md): re-derivar POR CÁLCULO el tamaño mínimo operable de XAUUSD en 4h y el requisito real de lote que 04.01.01 debe exigir al bróker</t>
        </is>
      </c>
      <c r="C19" s="4" t="n"/>
      <c r="D19" s="4" t="n"/>
      <c r="E19" s="4" t="n"/>
      <c r="F19" s="4" t="n"/>
      <c r="G19" s="14" t="inlineStr">
        <is>
          <t>En curso</t>
        </is>
      </c>
    </row>
    <row r="20">
      <c r="A20" s="13" t="inlineStr">
        <is>
          <t>07.01.03</t>
        </is>
      </c>
      <c r="B20" s="4" t="inlineStr">
        <is>
          <t>NUEVA 03/08 (incidente de proceso): auditar todo lo escrito el 03/08/2026 entre las 21:44 y las 21:58 sin flujo de cuatro capas, y el residuo sin commitear del tramo anterior</t>
        </is>
      </c>
      <c r="C20" s="4" t="n"/>
      <c r="D20" s="4" t="n"/>
      <c r="E20" s="4" t="n"/>
      <c r="F20" s="4" t="n"/>
      <c r="G20" s="14" t="inlineStr">
        <is>
          <t>En curso</t>
        </is>
      </c>
    </row>
    <row r="22">
      <c r="A22" s="15" t="inlineStr">
        <is>
          <t>PROXIMA PUERTA</t>
        </is>
      </c>
      <c r="B22" s="16" t="inlineStr">
        <is>
          <t>G1 — elegir mercado y tamaño de vela (criterios en la hoja PUERTAS)</t>
        </is>
      </c>
    </row>
    <row r="23">
      <c r="A23" s="15" t="inlineStr">
        <is>
          <t>OBJETIVO DEL MES</t>
        </is>
      </c>
      <c r="B23" s="16" t="inlineStr">
        <is>
          <t>Llegar al 1 de septiembre con respuesta a: ¿existe alguna estrategia que merezca pasar a demo?</t>
        </is>
      </c>
    </row>
    <row r="24">
      <c r="A24" s="15" t="inlineStr">
        <is>
          <t>FUENTE DE VERDAD</t>
        </is>
      </c>
      <c r="B24" s="16" t="inlineStr">
        <is>
          <t>00-direccion/WBS.md — este Excel se genera de ahi. Si discrepan, manda el texto.</t>
        </is>
      </c>
    </row>
    <row r="28">
      <c r="A28" s="15" t="inlineStr">
        <is>
          <t>LEYENDA</t>
        </is>
      </c>
    </row>
    <row r="29">
      <c r="A29" s="17" t="inlineStr">
        <is>
          <t>Hecha</t>
        </is>
      </c>
    </row>
    <row r="30">
      <c r="A30" s="18" t="inlineStr">
        <is>
          <t>En curso</t>
        </is>
      </c>
    </row>
    <row r="31">
      <c r="A31" s="19" t="inlineStr">
        <is>
          <t>Pendiente</t>
        </is>
      </c>
    </row>
    <row r="32">
      <c r="A32" s="20" t="inlineStr">
        <is>
          <t>Bloqueada</t>
        </is>
      </c>
    </row>
  </sheetData>
  <mergeCells count="11">
    <mergeCell ref="B24:G24"/>
    <mergeCell ref="A1:G1"/>
    <mergeCell ref="B16:F16"/>
    <mergeCell ref="B20:F20"/>
    <mergeCell ref="B15:F15"/>
    <mergeCell ref="B22:G22"/>
    <mergeCell ref="B23:G23"/>
    <mergeCell ref="B19:F19"/>
    <mergeCell ref="B14:F14"/>
    <mergeCell ref="B17:F17"/>
    <mergeCell ref="B18:F18"/>
  </mergeCells>
  <conditionalFormatting sqref="G4:G11">
    <cfRule type="dataBar" priority="1">
      <dataBar showValue="1">
        <cfvo type="num" val="0"/>
        <cfvo type="num" val="1"/>
        <color rgb="004472C4"/>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8"/>
  <sheetViews>
    <sheetView workbookViewId="0">
      <pane ySplit="8" topLeftCell="A9" activePane="bottomLeft" state="frozen"/>
      <selection pane="bottomLeft" activeCell="A1" sqref="A1"/>
    </sheetView>
  </sheetViews>
  <sheetFormatPr baseColWidth="8" defaultRowHeight="15"/>
  <cols>
    <col width="8" customWidth="1" min="1" max="1"/>
    <col width="11" customWidth="1" min="2" max="2"/>
    <col width="56" customWidth="1" min="3" max="3"/>
    <col width="21" customWidth="1" min="4" max="4"/>
    <col width="11" customWidth="1" min="5" max="5"/>
    <col width="12" customWidth="1" min="6" max="6"/>
    <col width="12" customWidth="1" min="7" max="7"/>
    <col width="11" customWidth="1" min="8" max="8"/>
    <col width="42" customWidth="1" min="9" max="9"/>
  </cols>
  <sheetData>
    <row r="1" ht="24" customHeight="1">
      <c r="A1" s="1" t="inlineStr">
        <is>
          <t>QUE SE HACE AHORA Y EN QUE ORDEN</t>
        </is>
      </c>
      <c r="B1" s="2" t="n"/>
      <c r="C1" s="2" t="n"/>
      <c r="D1" s="2" t="n"/>
      <c r="E1" s="2" t="n"/>
      <c r="F1" s="2" t="n"/>
      <c r="G1" s="2" t="n"/>
      <c r="H1" s="2" t="n"/>
      <c r="I1" s="2" t="n"/>
    </row>
    <row r="2">
      <c r="A2" s="21" t="inlineStr">
        <is>
          <t>Orden calculado de WBS.md: (1) una tarea entra en la cola cuando TODAS sus dependencias estan hechas; (2) primero lo ya empezado; (3) despues el PRODUCTO antes que el MOTOR (regla 12: el motor no manda); (4) a igualdad, orden de codigo WBS (regla 4). MOTOR = fases 03 y 07 y lo que su texto marque como tal. DESBLOQUEA = tareas vivas que la esperan directamente · EN CADENA = todas las que quedan detras contando el efecto domino.</t>
        </is>
      </c>
      <c r="B2" s="22" t="n"/>
      <c r="C2" s="22" t="n"/>
      <c r="D2" s="22" t="n"/>
      <c r="E2" s="22" t="n"/>
      <c r="F2" s="22" t="n"/>
      <c r="G2" s="22" t="n"/>
      <c r="H2" s="22" t="n"/>
      <c r="I2" s="22" t="n"/>
    </row>
    <row r="4" ht="34" customHeight="1">
      <c r="A4" s="23" t="inlineStr">
        <is>
          <t>AHORA — EQUIPO</t>
        </is>
      </c>
      <c r="B4" s="24" t="n"/>
      <c r="C4" s="25" t="inlineStr">
        <is>
          <t>04.01.04 — NUEVA 09/08 (subtarea dentro del alcance de 04.01.01, creada por el orquestador, regla 2 de CLAUDE.md): re-derivar POR CÁLCULO el tamaño mínimo operable de XAUUSD en 4h y el requisito real de lote que 04.01.01 debe exigir al bróker</t>
        </is>
      </c>
      <c r="D4" s="24" t="n"/>
      <c r="E4" s="24" t="n"/>
      <c r="F4" s="24" t="n"/>
      <c r="G4" s="24" t="n"/>
      <c r="H4" s="24" t="n"/>
      <c r="I4" s="25" t="inlineStr">
        <is>
          <t>Constructor de datos</t>
        </is>
      </c>
    </row>
    <row r="5" ht="34" customHeight="1">
      <c r="A5" s="26" t="inlineStr">
        <is>
          <t>AHORA — CEO</t>
        </is>
      </c>
      <c r="B5" s="27" t="n"/>
      <c r="C5" s="28" t="inlineStr">
        <is>
          <t>04.01.01 — Comparar 3-4 brokers del mercado elegido; elegir uno y abrir demo (CEO firma)</t>
        </is>
      </c>
      <c r="D5" s="27" t="n"/>
      <c r="E5" s="27" t="n"/>
      <c r="F5" s="27" t="n"/>
      <c r="G5" s="27" t="n"/>
      <c r="H5" s="27" t="n"/>
      <c r="I5" s="28" t="inlineStr">
        <is>
          <t>CEO + Orquestador</t>
        </is>
      </c>
    </row>
    <row r="6" ht="34" customHeight="1">
      <c r="A6" s="29" t="inlineStr">
        <is>
          <t>CUELLO DE BOTELLA</t>
        </is>
      </c>
      <c r="B6" s="30" t="n"/>
      <c r="C6" s="31" t="inlineStr">
        <is>
          <t>04.02.01 — Barrido de fuentes: papers, libros, foros, GitHub, X. Regla: mínimo 2 fuentes independientes verificables por idea; vendedores de cursos/señales no son fuente. Detras de ella esperan 16 de las 36 tareas vivas.</t>
        </is>
      </c>
      <c r="D6" s="30" t="n"/>
      <c r="E6" s="30" t="n"/>
      <c r="F6" s="30" t="n"/>
      <c r="G6" s="30" t="n"/>
      <c r="H6" s="30" t="n"/>
      <c r="I6" s="31" t="inlineStr">
        <is>
          <t>Investigador</t>
        </is>
      </c>
    </row>
    <row r="8" ht="28" customHeight="1">
      <c r="A8" s="3" t="inlineStr">
        <is>
          <t>ORDEN</t>
        </is>
      </c>
      <c r="B8" s="3" t="inlineStr">
        <is>
          <t>CODIGO</t>
        </is>
      </c>
      <c r="C8" s="3" t="inlineStr">
        <is>
          <t>QUE HAY QUE HACER</t>
        </is>
      </c>
      <c r="D8" s="3" t="inlineStr">
        <is>
          <t>QUIEN</t>
        </is>
      </c>
      <c r="E8" s="3" t="inlineStr">
        <is>
          <t>CARRIL</t>
        </is>
      </c>
      <c r="F8" s="3" t="inlineStr">
        <is>
          <t>ESTADO</t>
        </is>
      </c>
      <c r="G8" s="3" t="inlineStr">
        <is>
          <t>DESBLOQUEA</t>
        </is>
      </c>
      <c r="H8" s="3" t="inlineStr">
        <is>
          <t>EN CADENA</t>
        </is>
      </c>
      <c r="I8" s="3" t="inlineStr">
        <is>
          <t>QUE FALTA PARA PODER EMPEZARLA</t>
        </is>
      </c>
    </row>
    <row r="9">
      <c r="A9" s="32" t="inlineStr">
        <is>
          <t>SE PUEDE TRABAJAR YA — 15 tareas, en este orden</t>
        </is>
      </c>
      <c r="B9" s="32" t="n"/>
      <c r="C9" s="32" t="n"/>
      <c r="D9" s="32" t="n"/>
      <c r="E9" s="32" t="n"/>
      <c r="F9" s="32" t="n"/>
      <c r="G9" s="32" t="n"/>
      <c r="H9" s="32" t="n"/>
      <c r="I9" s="32" t="n"/>
    </row>
    <row r="10">
      <c r="A10" s="5" t="n">
        <v>1</v>
      </c>
      <c r="B10" s="33" t="inlineStr">
        <is>
          <t>04.01.01</t>
        </is>
      </c>
      <c r="C10" s="4" t="inlineStr">
        <is>
          <t>Comparar 3-4 brokers del mercado elegido; elegir uno y abrir demo (CEO firma)</t>
        </is>
      </c>
      <c r="D10" s="28" t="inlineStr">
        <is>
          <t>CEO + Orquestador</t>
        </is>
      </c>
      <c r="E10" s="5" t="inlineStr">
        <is>
          <t>PRODUCTO</t>
        </is>
      </c>
      <c r="F10" s="14" t="inlineStr">
        <is>
          <t>En curso</t>
        </is>
      </c>
      <c r="G10" s="5" t="n">
        <v>2</v>
      </c>
      <c r="H10" s="5" t="n">
        <v>15</v>
      </c>
      <c r="I10" s="4" t="inlineStr">
        <is>
          <t>nada: se puede empezar ya</t>
        </is>
      </c>
    </row>
    <row r="11">
      <c r="A11" s="5" t="n">
        <v>2</v>
      </c>
      <c r="B11" s="33" t="inlineStr">
        <is>
          <t>04.01.04</t>
        </is>
      </c>
      <c r="C11" s="4" t="inlineStr">
        <is>
          <t>NUEVA 09/08 (subtarea dentro del alcance de 04.01.01, creada por el orquestador, regla 2 de CLAUDE.md): re-derivar POR CÁLCULO el tamaño mínimo operable de XAUUSD en 4h y el requisito real de lote que 04.01.01 debe exigir al bróker</t>
        </is>
      </c>
      <c r="D11" s="4" t="inlineStr">
        <is>
          <t>Constructor de datos</t>
        </is>
      </c>
      <c r="E11" s="5" t="inlineStr">
        <is>
          <t>PRODUCTO</t>
        </is>
      </c>
      <c r="F11" s="14" t="inlineStr">
        <is>
          <t>En curso</t>
        </is>
      </c>
      <c r="G11" s="5" t="inlineStr"/>
      <c r="H11" s="5" t="inlineStr"/>
      <c r="I11" s="4" t="inlineStr">
        <is>
          <t>nada: se puede empezar ya</t>
        </is>
      </c>
    </row>
    <row r="12">
      <c r="A12" s="5" t="n">
        <v>3</v>
      </c>
      <c r="B12" s="33" t="inlineStr">
        <is>
          <t>03.01.08</t>
        </is>
      </c>
      <c r="C12" s="4" t="inlineStr">
        <is>
          <t>Prueba de fuego de las barreras (regla 25 de CLAUDE.md): inyectar cada caso prohibido —leer el cajón reservado, escribir fuera del proyecto, borrar datos, gastar dinero— y comprobar que se bloquea de verdad. Lo que no se bloquee se marca "no verificada"</t>
        </is>
      </c>
      <c r="D12" s="4" t="inlineStr">
        <is>
          <t>Crítico</t>
        </is>
      </c>
      <c r="E12" s="34" t="inlineStr">
        <is>
          <t>MOTOR</t>
        </is>
      </c>
      <c r="F12" s="14" t="inlineStr">
        <is>
          <t>En curso</t>
        </is>
      </c>
      <c r="G12" s="5" t="n">
        <v>1</v>
      </c>
      <c r="H12" s="5" t="n">
        <v>1</v>
      </c>
      <c r="I12" s="4" t="inlineStr">
        <is>
          <t>nada: se puede empezar ya</t>
        </is>
      </c>
    </row>
    <row r="13">
      <c r="A13" s="5" t="n">
        <v>4</v>
      </c>
      <c r="B13" s="33" t="inlineStr">
        <is>
          <t>03.01.23</t>
        </is>
      </c>
      <c r="C13" s="4" t="inlineStr">
        <is>
          <t>Encadenador de trabajo desatendido: una conversación por tarea</t>
        </is>
      </c>
      <c r="D13" s="4" t="inlineStr">
        <is>
          <t>Constructor de motor</t>
        </is>
      </c>
      <c r="E13" s="34" t="inlineStr">
        <is>
          <t>MOTOR</t>
        </is>
      </c>
      <c r="F13" s="14" t="inlineStr">
        <is>
          <t>En curso</t>
        </is>
      </c>
      <c r="G13" s="5" t="inlineStr"/>
      <c r="H13" s="5" t="inlineStr"/>
      <c r="I13" s="4" t="inlineStr">
        <is>
          <t>nada: se puede empezar ya</t>
        </is>
      </c>
    </row>
    <row r="14">
      <c r="A14" s="5" t="n">
        <v>5</v>
      </c>
      <c r="B14" s="33" t="inlineStr">
        <is>
          <t>07.01.03</t>
        </is>
      </c>
      <c r="C14" s="4" t="inlineStr">
        <is>
          <t>NUEVA 03/08 (incidente de proceso): auditar todo lo escrito el 03/08/2026 entre las 21:44 y las 21:58 sin flujo de cuatro capas, y el residuo sin commitear del tramo anterior</t>
        </is>
      </c>
      <c r="D14" s="4" t="inlineStr">
        <is>
          <t>Orquestador</t>
        </is>
      </c>
      <c r="E14" s="34" t="inlineStr">
        <is>
          <t>MOTOR</t>
        </is>
      </c>
      <c r="F14" s="14" t="inlineStr">
        <is>
          <t>En curso</t>
        </is>
      </c>
      <c r="G14" s="5" t="inlineStr"/>
      <c r="H14" s="5" t="inlineStr"/>
      <c r="I14" s="4" t="inlineStr">
        <is>
          <t>nada: se puede empezar ya</t>
        </is>
      </c>
    </row>
    <row r="15">
      <c r="A15" s="5" t="n">
        <v>6</v>
      </c>
      <c r="B15" s="33" t="inlineStr">
        <is>
          <t>04.02.01</t>
        </is>
      </c>
      <c r="C15" s="4" t="inlineStr">
        <is>
          <t>Barrido de fuentes: papers, libros, foros, GitHub, X. Regla: mínimo 2 fuentes independientes verificables por idea; vendedores de cursos/señales no son fuente</t>
        </is>
      </c>
      <c r="D15" s="4" t="inlineStr">
        <is>
          <t>Investigador</t>
        </is>
      </c>
      <c r="E15" s="5" t="inlineStr">
        <is>
          <t>PRODUCTO</t>
        </is>
      </c>
      <c r="F15" s="5" t="inlineStr">
        <is>
          <t>Pendiente</t>
        </is>
      </c>
      <c r="G15" s="5" t="n">
        <v>1</v>
      </c>
      <c r="H15" s="5" t="n">
        <v>16</v>
      </c>
      <c r="I15" s="4" t="inlineStr">
        <is>
          <t>nada: se puede empezar ya</t>
        </is>
      </c>
    </row>
    <row r="16">
      <c r="A16" s="5" t="n">
        <v>7</v>
      </c>
      <c r="B16" s="33" t="inlineStr">
        <is>
          <t>03.01.03</t>
        </is>
      </c>
      <c r="C16" s="4" t="inlineStr">
        <is>
          <t>Ejecución desatendida: arranques programados, permisos AMPLIOS por defecto (git como red de seguridad) y topes de gasto</t>
        </is>
      </c>
      <c r="D16" s="4" t="inlineStr">
        <is>
          <t>Constructores</t>
        </is>
      </c>
      <c r="E16" s="34" t="inlineStr">
        <is>
          <t>MOTOR</t>
        </is>
      </c>
      <c r="F16" s="5" t="inlineStr">
        <is>
          <t>Pendiente</t>
        </is>
      </c>
      <c r="G16" s="5" t="n">
        <v>1</v>
      </c>
      <c r="H16" s="5" t="n">
        <v>1</v>
      </c>
      <c r="I16" s="4" t="inlineStr">
        <is>
          <t>nada: se puede empezar ya</t>
        </is>
      </c>
    </row>
    <row r="17">
      <c r="A17" s="5" t="n">
        <v>8</v>
      </c>
      <c r="B17" s="33" t="inlineStr">
        <is>
          <t>03.01.04</t>
        </is>
      </c>
      <c r="C17" s="4" t="inlineStr">
        <is>
          <t>Plan de respaldo de modelos: si un modelo no está disponible o rechaza, el agente sigue con su respaldo y lo anota</t>
        </is>
      </c>
      <c r="D17" s="4" t="inlineStr">
        <is>
          <t>Constructores</t>
        </is>
      </c>
      <c r="E17" s="34" t="inlineStr">
        <is>
          <t>MOTOR</t>
        </is>
      </c>
      <c r="F17" s="5" t="inlineStr">
        <is>
          <t>Pendiente</t>
        </is>
      </c>
      <c r="G17" s="5" t="n">
        <v>1</v>
      </c>
      <c r="H17" s="5" t="n">
        <v>1</v>
      </c>
      <c r="I17" s="4" t="inlineStr">
        <is>
          <t>nada: se puede empezar ya</t>
        </is>
      </c>
    </row>
    <row r="18">
      <c r="A18" s="5" t="n">
        <v>9</v>
      </c>
      <c r="B18" s="33" t="inlineStr">
        <is>
          <t>03.01.06</t>
        </is>
      </c>
      <c r="C18" s="4" t="inlineStr">
        <is>
          <t>Plantilla y automatismo de fichas de decisión: el secretario prepara cada decisión del CEO en el formato obligatorio y la adjunta al informe semanal</t>
        </is>
      </c>
      <c r="D18" s="4" t="inlineStr">
        <is>
          <t>Secretario</t>
        </is>
      </c>
      <c r="E18" s="34" t="inlineStr">
        <is>
          <t>MOTOR</t>
        </is>
      </c>
      <c r="F18" s="5" t="inlineStr">
        <is>
          <t>Pendiente</t>
        </is>
      </c>
      <c r="G18" s="5" t="n">
        <v>1</v>
      </c>
      <c r="H18" s="5" t="n">
        <v>1</v>
      </c>
      <c r="I18" s="4" t="inlineStr">
        <is>
          <t>nada: se puede empezar ya</t>
        </is>
      </c>
    </row>
    <row r="19">
      <c r="A19" s="5" t="n">
        <v>10</v>
      </c>
      <c r="B19" s="33" t="inlineStr">
        <is>
          <t>03.01.09</t>
        </is>
      </c>
      <c r="C19" s="4" t="inlineStr">
        <is>
          <t>Enrutado por tipo de tarea y comprobación de que el WBS genera tareas de cada tipo de agente (ver L-010 de LECCIONES.md; sin número propio en CLAUDE.md)</t>
        </is>
      </c>
      <c r="D19" s="4" t="inlineStr">
        <is>
          <t>Constructores</t>
        </is>
      </c>
      <c r="E19" s="34" t="inlineStr">
        <is>
          <t>MOTOR</t>
        </is>
      </c>
      <c r="F19" s="5" t="inlineStr">
        <is>
          <t>Pendiente</t>
        </is>
      </c>
      <c r="G19" s="5" t="inlineStr"/>
      <c r="H19" s="5" t="inlineStr"/>
      <c r="I19" s="4" t="inlineStr">
        <is>
          <t>nada: se puede empezar ya</t>
        </is>
      </c>
    </row>
    <row r="20">
      <c r="A20" s="5" t="n">
        <v>11</v>
      </c>
      <c r="B20" s="33" t="inlineStr">
        <is>
          <t>03.01.10</t>
        </is>
      </c>
      <c r="C20" s="4" t="inlineStr">
        <is>
          <t>Testbed sintético de invarianza: resultado de referencia fijo que debe reproducirse tras cualquier cambio del motor</t>
        </is>
      </c>
      <c r="D20" s="4" t="inlineStr">
        <is>
          <t>Constructores</t>
        </is>
      </c>
      <c r="E20" s="34" t="inlineStr">
        <is>
          <t>MOTOR</t>
        </is>
      </c>
      <c r="F20" s="5" t="inlineStr">
        <is>
          <t>Pendiente</t>
        </is>
      </c>
      <c r="G20" s="5" t="inlineStr"/>
      <c r="H20" s="5" t="inlineStr"/>
      <c r="I20" s="4" t="inlineStr">
        <is>
          <t>nada: se puede empezar ya</t>
        </is>
      </c>
    </row>
    <row r="21">
      <c r="A21" s="5" t="n">
        <v>12</v>
      </c>
      <c r="B21" s="33" t="inlineStr">
        <is>
          <t>03.01.14</t>
        </is>
      </c>
      <c r="C21"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D21" s="4" t="inlineStr">
        <is>
          <t>Constructores</t>
        </is>
      </c>
      <c r="E21" s="34" t="inlineStr">
        <is>
          <t>MOTOR</t>
        </is>
      </c>
      <c r="F21" s="5" t="inlineStr">
        <is>
          <t>Pendiente</t>
        </is>
      </c>
      <c r="G21" s="5" t="inlineStr"/>
      <c r="H21" s="5" t="inlineStr"/>
      <c r="I21" s="4" t="inlineStr">
        <is>
          <t>nada: se puede empezar ya</t>
        </is>
      </c>
    </row>
    <row r="22">
      <c r="A22" s="5" t="n">
        <v>13</v>
      </c>
      <c r="B22" s="33" t="inlineStr">
        <is>
          <t>03.01.17</t>
        </is>
      </c>
      <c r="C22" s="4" t="inlineStr">
        <is>
          <t>Reparar la prueba 7 de verificar_excel.py (entregables de las tareas hechas)</t>
        </is>
      </c>
      <c r="D22" s="4" t="inlineStr">
        <is>
          <t>Constructor de motor</t>
        </is>
      </c>
      <c r="E22" s="34" t="inlineStr">
        <is>
          <t>MOTOR</t>
        </is>
      </c>
      <c r="F22" s="5" t="inlineStr">
        <is>
          <t>Pendiente</t>
        </is>
      </c>
      <c r="G22" s="5" t="inlineStr"/>
      <c r="H22" s="5" t="inlineStr"/>
      <c r="I22" s="4" t="inlineStr">
        <is>
          <t>nada: se puede empezar ya</t>
        </is>
      </c>
    </row>
    <row r="23">
      <c r="A23" s="5" t="n">
        <v>14</v>
      </c>
      <c r="B23" s="33" t="inlineStr">
        <is>
          <t>07.01.01</t>
        </is>
      </c>
      <c r="C23" s="4" t="inlineStr">
        <is>
          <t>Carpetas y documentos en orden; una fuente de verdad por tema; lo sustituido se borra</t>
        </is>
      </c>
      <c r="D23" s="4" t="inlineStr">
        <is>
          <t>Constructores</t>
        </is>
      </c>
      <c r="E23" s="34" t="inlineStr">
        <is>
          <t>MOTOR</t>
        </is>
      </c>
      <c r="F23" s="5" t="inlineStr">
        <is>
          <t>Pendiente</t>
        </is>
      </c>
      <c r="G23" s="5" t="inlineStr"/>
      <c r="H23" s="5" t="inlineStr"/>
      <c r="I23" s="4" t="inlineStr">
        <is>
          <t>nada: se puede empezar ya</t>
        </is>
      </c>
    </row>
    <row r="24">
      <c r="A24" s="5" t="n">
        <v>15</v>
      </c>
      <c r="B24" s="33" t="inlineStr">
        <is>
          <t>07.01.02</t>
        </is>
      </c>
      <c r="C24" s="4" t="inlineStr">
        <is>
          <t>Mejoras del motor: SOLO tareas aprobadas en revisión semanal (el motor no manda)</t>
        </is>
      </c>
      <c r="D24" s="4" t="inlineStr">
        <is>
          <t>Constructores</t>
        </is>
      </c>
      <c r="E24" s="34" t="inlineStr">
        <is>
          <t>MOTOR</t>
        </is>
      </c>
      <c r="F24" s="5" t="inlineStr">
        <is>
          <t>Pendiente</t>
        </is>
      </c>
      <c r="G24" s="5" t="inlineStr"/>
      <c r="H24" s="5" t="inlineStr"/>
      <c r="I24" s="4" t="inlineStr">
        <is>
          <t>nada: se puede empezar ya</t>
        </is>
      </c>
    </row>
    <row r="25">
      <c r="A25" s="32" t="inlineStr">
        <is>
          <t>ESPERANDO A OTRA TAREA — 21 tareas, en orden de codigo WBS</t>
        </is>
      </c>
      <c r="B25" s="32" t="n"/>
      <c r="C25" s="32" t="n"/>
      <c r="D25" s="32" t="n"/>
      <c r="E25" s="32" t="n"/>
      <c r="F25" s="32" t="n"/>
      <c r="G25" s="32" t="n"/>
      <c r="H25" s="32" t="n"/>
      <c r="I25" s="32" t="n"/>
    </row>
    <row r="26">
      <c r="A26" s="5" t="inlineStr">
        <is>
          <t>—</t>
        </is>
      </c>
      <c r="B26" s="33" t="inlineStr">
        <is>
          <t>03.01.05</t>
        </is>
      </c>
      <c r="C26" s="4" t="inlineStr">
        <is>
          <t>PRUEBA REAL DEL MOTOR: un día entero de trabajo desatendido de verdad antes de dar la fase por buena</t>
        </is>
      </c>
      <c r="D26" s="4" t="inlineStr">
        <is>
          <t>Orquestador</t>
        </is>
      </c>
      <c r="E26" s="34" t="inlineStr">
        <is>
          <t>MOTOR</t>
        </is>
      </c>
      <c r="F26" s="5" t="inlineStr">
        <is>
          <t>Pendiente</t>
        </is>
      </c>
      <c r="G26" s="5" t="inlineStr"/>
      <c r="H26" s="5" t="inlineStr"/>
      <c r="I26" s="4" t="inlineStr">
        <is>
          <t>03.01.03 (pendiente, Constructores), 03.01.04 (pendiente, Constructores)</t>
        </is>
      </c>
    </row>
    <row r="27">
      <c r="A27" s="5" t="inlineStr">
        <is>
          <t>—</t>
        </is>
      </c>
      <c r="B27" s="33" t="inlineStr">
        <is>
          <t>03.01.07</t>
        </is>
      </c>
      <c r="C27" s="4" t="inlineStr">
        <is>
          <t>Cola de aprobación del CEO: tabla con desplegable Aprobado / Saltar / Corregir y columna de corrección. Lo aprobado se ejecuta solo; lo corregido se rehace Y la corrección se guarda en LECCIONES.md</t>
        </is>
      </c>
      <c r="D27" s="4" t="inlineStr">
        <is>
          <t>Secretario</t>
        </is>
      </c>
      <c r="E27" s="34" t="inlineStr">
        <is>
          <t>MOTOR</t>
        </is>
      </c>
      <c r="F27" s="5" t="inlineStr">
        <is>
          <t>Pendiente</t>
        </is>
      </c>
      <c r="G27" s="5" t="inlineStr"/>
      <c r="H27" s="5" t="inlineStr"/>
      <c r="I27" s="4" t="inlineStr">
        <is>
          <t>03.01.06 (pendiente, Secretario)</t>
        </is>
      </c>
    </row>
    <row r="28">
      <c r="A28" s="5" t="inlineStr">
        <is>
          <t>—</t>
        </is>
      </c>
      <c r="B28" s="33" t="inlineStr">
        <is>
          <t>03.01.11</t>
        </is>
      </c>
      <c r="C28" s="4" t="inlineStr">
        <is>
          <t>NUEVA 31/07 (D-10): guardia del cajon reservado por cifrado. Script cajon_reservado.py: la contraseña solo la tiene el CEO, no se guarda, se pide en cada operacion y nada se descifra a disco</t>
        </is>
      </c>
      <c r="D28" s="4" t="inlineStr">
        <is>
          <t>Constructores</t>
        </is>
      </c>
      <c r="E28" s="34" t="inlineStr">
        <is>
          <t>MOTOR</t>
        </is>
      </c>
      <c r="F28" s="14" t="inlineStr">
        <is>
          <t>En curso</t>
        </is>
      </c>
      <c r="G28" s="5" t="inlineStr"/>
      <c r="H28" s="5" t="inlineStr"/>
      <c r="I28" s="4" t="inlineStr">
        <is>
          <t>03.01.08 (en curso, Crítico)</t>
        </is>
      </c>
    </row>
    <row r="29">
      <c r="A29" s="5" t="inlineStr">
        <is>
          <t>—</t>
        </is>
      </c>
      <c r="B29" s="33" t="inlineStr">
        <is>
          <t>04.01.02</t>
        </is>
      </c>
      <c r="C29"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D29" s="4" t="inlineStr">
        <is>
          <t>Constructor datos</t>
        </is>
      </c>
      <c r="E29" s="5" t="inlineStr">
        <is>
          <t>PRODUCTO</t>
        </is>
      </c>
      <c r="F29" s="5" t="inlineStr">
        <is>
          <t>Pendiente</t>
        </is>
      </c>
      <c r="G29" s="5" t="inlineStr"/>
      <c r="H29" s="5" t="inlineStr"/>
      <c r="I29" s="4" t="inlineStr">
        <is>
          <t>04.01.01 (en curso, CEO + Orquestador)</t>
        </is>
      </c>
    </row>
    <row r="30">
      <c r="A30" s="5" t="inlineStr">
        <is>
          <t>—</t>
        </is>
      </c>
      <c r="B30" s="33" t="inlineStr">
        <is>
          <t>04.01.03</t>
        </is>
      </c>
      <c r="C30" s="4" t="inlineStr">
        <is>
          <t>Histórico limpio partido en 3 cajones: construir (train), ajustar (validación) y RESERVADO bajo llave (OOS, se abre una sola vez por variante). Ningún agente toca el reservado</t>
        </is>
      </c>
      <c r="D30" s="4" t="inlineStr">
        <is>
          <t>Constructor datos</t>
        </is>
      </c>
      <c r="E30" s="5" t="inlineStr">
        <is>
          <t>PRODUCTO</t>
        </is>
      </c>
      <c r="F30" s="5" t="inlineStr">
        <is>
          <t>Pendiente</t>
        </is>
      </c>
      <c r="G30" s="5" t="n">
        <v>1</v>
      </c>
      <c r="H30" s="5" t="n">
        <v>13</v>
      </c>
      <c r="I30" s="4" t="inlineStr">
        <is>
          <t>04.01.01 (en curso, CEO + Orquestador)</t>
        </is>
      </c>
    </row>
    <row r="31">
      <c r="A31" s="5" t="inlineStr">
        <is>
          <t>—</t>
        </is>
      </c>
      <c r="B31" s="33" t="inlineStr">
        <is>
          <t>04.02.02</t>
        </is>
      </c>
      <c r="C31" s="4" t="inlineStr">
        <is>
          <t>Ficha por hipótesis: por qué existiría la ventaja, reglas de entrada/salida, mercado y vela. Sin lógica de por qué gana, no entra (nada de probar por probar)</t>
        </is>
      </c>
      <c r="D31" s="4" t="inlineStr">
        <is>
          <t>Investigador</t>
        </is>
      </c>
      <c r="E31" s="5" t="inlineStr">
        <is>
          <t>PRODUCTO</t>
        </is>
      </c>
      <c r="F31" s="5" t="inlineStr">
        <is>
          <t>Pendiente</t>
        </is>
      </c>
      <c r="G31" s="5" t="n">
        <v>1</v>
      </c>
      <c r="H31" s="5" t="n">
        <v>15</v>
      </c>
      <c r="I31" s="4" t="inlineStr">
        <is>
          <t>04.02.01 (pendiente, Investigador)</t>
        </is>
      </c>
    </row>
    <row r="32">
      <c r="A32" s="5" t="inlineStr">
        <is>
          <t>—</t>
        </is>
      </c>
      <c r="B32" s="33" t="inlineStr">
        <is>
          <t>04.02.03</t>
        </is>
      </c>
      <c r="C32" s="4" t="inlineStr">
        <is>
          <t>Filtro de sentido: el Validador puntúa y se eligen las 3-5 mejores</t>
        </is>
      </c>
      <c r="D32" s="4" t="inlineStr">
        <is>
          <t>Validador</t>
        </is>
      </c>
      <c r="E32" s="5" t="inlineStr">
        <is>
          <t>PRODUCTO</t>
        </is>
      </c>
      <c r="F32" s="5" t="inlineStr">
        <is>
          <t>Pendiente</t>
        </is>
      </c>
      <c r="G32" s="5" t="n">
        <v>1</v>
      </c>
      <c r="H32" s="5" t="n">
        <v>14</v>
      </c>
      <c r="I32" s="4" t="inlineStr">
        <is>
          <t>04.02.02 (pendiente, Investigador)</t>
        </is>
      </c>
    </row>
    <row r="33">
      <c r="A33" s="5" t="inlineStr">
        <is>
          <t>—</t>
        </is>
      </c>
      <c r="B33" s="33" t="inlineStr">
        <is>
          <t>04.02.04</t>
        </is>
      </c>
      <c r="C33" s="4" t="inlineStr">
        <is>
          <t>Pre-registro de variantes: cada hipótesis deja escritas sus variantes ANTES de probar (máx. 5-7 por hipótesis). Lo no registrado no se prueba</t>
        </is>
      </c>
      <c r="D33" s="4" t="inlineStr">
        <is>
          <t>Validador</t>
        </is>
      </c>
      <c r="E33" s="5" t="inlineStr">
        <is>
          <t>PRODUCTO</t>
        </is>
      </c>
      <c r="F33" s="5" t="inlineStr">
        <is>
          <t>Pendiente</t>
        </is>
      </c>
      <c r="G33" s="5" t="n">
        <v>1</v>
      </c>
      <c r="H33" s="5" t="n">
        <v>13</v>
      </c>
      <c r="I33" s="4" t="inlineStr">
        <is>
          <t>04.02.03 (pendiente, Validador)</t>
        </is>
      </c>
    </row>
    <row r="34">
      <c r="A34" s="5" t="inlineStr">
        <is>
          <t>—</t>
        </is>
      </c>
      <c r="B34" s="33" t="inlineStr">
        <is>
          <t>04.03.01</t>
        </is>
      </c>
      <c r="C34" s="4" t="inlineStr">
        <is>
          <t>Backtest con costes reales sobre el cajón de construir</t>
        </is>
      </c>
      <c r="D34" s="4" t="inlineStr">
        <is>
          <t>Constructores</t>
        </is>
      </c>
      <c r="E34" s="5" t="inlineStr">
        <is>
          <t>PRODUCTO</t>
        </is>
      </c>
      <c r="F34" s="5" t="inlineStr">
        <is>
          <t>Pendiente</t>
        </is>
      </c>
      <c r="G34" s="5" t="n">
        <v>1</v>
      </c>
      <c r="H34" s="5" t="n">
        <v>12</v>
      </c>
      <c r="I34" s="4" t="inlineStr">
        <is>
          <t>04.01.03 (pendiente, Constructor datos), 04.02.04 (pendiente, Validador)</t>
        </is>
      </c>
    </row>
    <row r="35">
      <c r="A35" s="5" t="inlineStr">
        <is>
          <t>—</t>
        </is>
      </c>
      <c r="B35" s="33" t="inlineStr">
        <is>
          <t>04.03.02</t>
        </is>
      </c>
      <c r="C35" s="4" t="inlineStr">
        <is>
          <t>Ajuste SOLO con el cajón de validación; lo que no aguanta, muere aquí</t>
        </is>
      </c>
      <c r="D35" s="4" t="inlineStr">
        <is>
          <t>Constructores</t>
        </is>
      </c>
      <c r="E35" s="5" t="inlineStr">
        <is>
          <t>PRODUCTO</t>
        </is>
      </c>
      <c r="F35" s="5" t="inlineStr">
        <is>
          <t>Pendiente</t>
        </is>
      </c>
      <c r="G35" s="5" t="n">
        <v>1</v>
      </c>
      <c r="H35" s="5" t="n">
        <v>11</v>
      </c>
      <c r="I35" s="4" t="inlineStr">
        <is>
          <t>04.03.01 (pendiente, Constructores)</t>
        </is>
      </c>
    </row>
    <row r="36">
      <c r="A36" s="5" t="inlineStr">
        <is>
          <t>—</t>
        </is>
      </c>
      <c r="B36" s="33" t="inlineStr">
        <is>
          <t>04.03.03</t>
        </is>
      </c>
      <c r="C36" s="4" t="inlineStr">
        <is>
          <t>Prueba de fuego: UNA sola pasada por variante sobre el cajón reservado (OOS). Repetir sería hacerse trampa</t>
        </is>
      </c>
      <c r="D36" s="4" t="inlineStr">
        <is>
          <t>Validador</t>
        </is>
      </c>
      <c r="E36" s="5" t="inlineStr">
        <is>
          <t>PRODUCTO</t>
        </is>
      </c>
      <c r="F36" s="5" t="inlineStr">
        <is>
          <t>Pendiente</t>
        </is>
      </c>
      <c r="G36" s="5" t="n">
        <v>1</v>
      </c>
      <c r="H36" s="5" t="n">
        <v>10</v>
      </c>
      <c r="I36" s="4" t="inlineStr">
        <is>
          <t>04.03.02 (pendiente, Constructores)</t>
        </is>
      </c>
    </row>
    <row r="37">
      <c r="A37" s="5" t="inlineStr">
        <is>
          <t>—</t>
        </is>
      </c>
      <c r="B37" s="33" t="inlineStr">
        <is>
          <t>04.03.04</t>
        </is>
      </c>
      <c r="C37" s="4" t="inlineStr">
        <is>
          <t>Robustez: Monte Carlo (barajar el orden de operaciones y meter pequeños cambios miles de veces: ¿aguanta o era suerte?) + walk-forward (repetir el ajuste avanzando en el tiempo)</t>
        </is>
      </c>
      <c r="D37" s="4" t="inlineStr">
        <is>
          <t>Validador</t>
        </is>
      </c>
      <c r="E37" s="5" t="inlineStr">
        <is>
          <t>PRODUCTO</t>
        </is>
      </c>
      <c r="F37" s="5" t="inlineStr">
        <is>
          <t>Pendiente</t>
        </is>
      </c>
      <c r="G37" s="5" t="n">
        <v>1</v>
      </c>
      <c r="H37" s="5" t="n">
        <v>9</v>
      </c>
      <c r="I37" s="4" t="inlineStr">
        <is>
          <t>04.03.03 (pendiente, Validador)</t>
        </is>
      </c>
    </row>
    <row r="38">
      <c r="A38" s="5" t="inlineStr">
        <is>
          <t>—</t>
        </is>
      </c>
      <c r="B38" s="33" t="inlineStr">
        <is>
          <t>04.03.05</t>
        </is>
      </c>
      <c r="C38" s="4" t="inlineStr">
        <is>
          <t>Veredicto pasa/no pasa por variante, con los criterios de G2. Quien construyó no vota</t>
        </is>
      </c>
      <c r="D38" s="4" t="inlineStr">
        <is>
          <t>Validador</t>
        </is>
      </c>
      <c r="E38" s="5" t="inlineStr">
        <is>
          <t>PRODUCTO</t>
        </is>
      </c>
      <c r="F38" s="5" t="inlineStr">
        <is>
          <t>Pendiente</t>
        </is>
      </c>
      <c r="G38" s="5" t="n">
        <v>1</v>
      </c>
      <c r="H38" s="5" t="n">
        <v>8</v>
      </c>
      <c r="I38" s="4" t="inlineStr">
        <is>
          <t>04.03.04 (pendiente, Validador)</t>
        </is>
      </c>
    </row>
    <row r="39">
      <c r="A39" s="5" t="inlineStr">
        <is>
          <t>—</t>
        </is>
      </c>
      <c r="B39" s="33" t="inlineStr">
        <is>
          <t>04.04.01</t>
        </is>
      </c>
      <c r="C39" s="4" t="inlineStr">
        <is>
          <t>Informe de la vuelta: qué pasó, qué murió y por qué. Registro de TODAS las pruebas, también fallidas</t>
        </is>
      </c>
      <c r="D39" s="4" t="inlineStr">
        <is>
          <t>Secretario</t>
        </is>
      </c>
      <c r="E39" s="5" t="inlineStr">
        <is>
          <t>PRODUCTO</t>
        </is>
      </c>
      <c r="F39" s="5" t="inlineStr">
        <is>
          <t>Pendiente</t>
        </is>
      </c>
      <c r="G39" s="5" t="n">
        <v>2</v>
      </c>
      <c r="H39" s="5" t="n">
        <v>7</v>
      </c>
      <c r="I39" s="4" t="inlineStr">
        <is>
          <t>04.03.05 (pendiente, Validador)</t>
        </is>
      </c>
    </row>
    <row r="40">
      <c r="A40" s="5" t="inlineStr">
        <is>
          <t>—</t>
        </is>
      </c>
      <c r="B40" s="33" t="inlineStr">
        <is>
          <t>04.04.02</t>
        </is>
      </c>
      <c r="C40" s="4" t="inlineStr">
        <is>
          <t>Si ninguna pasa: volver a 04.02 con lecciones (vuelta 2, 3…). Tras la 3ª vuelta sin éxito: revisión completa del planteamiento con el CEO</t>
        </is>
      </c>
      <c r="D40" s="4" t="inlineStr">
        <is>
          <t>Orquestador</t>
        </is>
      </c>
      <c r="E40" s="5" t="inlineStr">
        <is>
          <t>PRODUCTO</t>
        </is>
      </c>
      <c r="F40" s="5" t="inlineStr">
        <is>
          <t>Pendiente</t>
        </is>
      </c>
      <c r="G40" s="5" t="inlineStr"/>
      <c r="H40" s="5" t="inlineStr"/>
      <c r="I40" s="4" t="inlineStr">
        <is>
          <t>04.04.01 (pendiente, Secretario)</t>
        </is>
      </c>
    </row>
    <row r="41">
      <c r="A41" s="5" t="inlineStr">
        <is>
          <t>—</t>
        </is>
      </c>
      <c r="B41" s="33" t="inlineStr">
        <is>
          <t>04.04.03</t>
        </is>
      </c>
      <c r="C41" s="4" t="inlineStr">
        <is>
          <t>PUERTA G2: el CEO decide qué pasa a demo</t>
        </is>
      </c>
      <c r="D41" s="28" t="inlineStr">
        <is>
          <t>CEO</t>
        </is>
      </c>
      <c r="E41" s="5" t="inlineStr">
        <is>
          <t>PRODUCTO</t>
        </is>
      </c>
      <c r="F41" s="5" t="inlineStr">
        <is>
          <t>Pendiente</t>
        </is>
      </c>
      <c r="G41" s="5" t="n">
        <v>1</v>
      </c>
      <c r="H41" s="5" t="n">
        <v>5</v>
      </c>
      <c r="I41" s="4" t="inlineStr">
        <is>
          <t>04.04.01 (pendiente, Secretario)</t>
        </is>
      </c>
    </row>
    <row r="42">
      <c r="A42" s="5" t="inlineStr">
        <is>
          <t>—</t>
        </is>
      </c>
      <c r="B42" s="33" t="inlineStr">
        <is>
          <t>05.01.01</t>
        </is>
      </c>
      <c r="C42" s="4" t="inlineStr">
        <is>
          <t>Bot en demo, solo y con guardias automáticos</t>
        </is>
      </c>
      <c r="D42" s="4" t="inlineStr">
        <is>
          <t>Constructores</t>
        </is>
      </c>
      <c r="E42" s="5" t="inlineStr">
        <is>
          <t>PRODUCTO</t>
        </is>
      </c>
      <c r="F42" s="5" t="inlineStr">
        <is>
          <t>Pendiente</t>
        </is>
      </c>
      <c r="G42" s="5" t="n">
        <v>1</v>
      </c>
      <c r="H42" s="5" t="n">
        <v>4</v>
      </c>
      <c r="I42" s="4" t="inlineStr">
        <is>
          <t>04.04.03 (pendiente, CEO)</t>
        </is>
      </c>
    </row>
    <row r="43">
      <c r="A43" s="5" t="inlineStr">
        <is>
          <t>—</t>
        </is>
      </c>
      <c r="B43" s="33" t="inlineStr">
        <is>
          <t>05.01.02</t>
        </is>
      </c>
      <c r="C43" s="4" t="inlineStr">
        <is>
          <t>Seguimiento semanal real vs. prometido (8-12 semanas)</t>
        </is>
      </c>
      <c r="D43" s="4" t="inlineStr">
        <is>
          <t>Secretario</t>
        </is>
      </c>
      <c r="E43" s="5" t="inlineStr">
        <is>
          <t>PRODUCTO</t>
        </is>
      </c>
      <c r="F43" s="5" t="inlineStr">
        <is>
          <t>Pendiente</t>
        </is>
      </c>
      <c r="G43" s="5" t="n">
        <v>1</v>
      </c>
      <c r="H43" s="5" t="n">
        <v>3</v>
      </c>
      <c r="I43" s="4" t="inlineStr">
        <is>
          <t>05.01.01 (pendiente, Constructores)</t>
        </is>
      </c>
    </row>
    <row r="44">
      <c r="A44" s="5" t="inlineStr">
        <is>
          <t>—</t>
        </is>
      </c>
      <c r="B44" s="33" t="inlineStr">
        <is>
          <t>05.01.03</t>
        </is>
      </c>
      <c r="C44" s="4" t="inlineStr">
        <is>
          <t>PUERTA G3: CEO decide dinero, cuánto y pérdida máxima</t>
        </is>
      </c>
      <c r="D44" s="28" t="inlineStr">
        <is>
          <t>CEO</t>
        </is>
      </c>
      <c r="E44" s="5" t="inlineStr">
        <is>
          <t>PRODUCTO</t>
        </is>
      </c>
      <c r="F44" s="5" t="inlineStr">
        <is>
          <t>Pendiente</t>
        </is>
      </c>
      <c r="G44" s="5" t="n">
        <v>1</v>
      </c>
      <c r="H44" s="5" t="n">
        <v>2</v>
      </c>
      <c r="I44" s="4" t="inlineStr">
        <is>
          <t>05.01.02 (pendiente, Secretario)</t>
        </is>
      </c>
    </row>
    <row r="45">
      <c r="A45" s="5" t="inlineStr">
        <is>
          <t>—</t>
        </is>
      </c>
      <c r="B45" s="33" t="inlineStr">
        <is>
          <t>06.01.01</t>
        </is>
      </c>
      <c r="C45" s="4" t="inlineStr">
        <is>
          <t>Dinero pequeño respetando los límites de 01.01.03</t>
        </is>
      </c>
      <c r="D45" s="4" t="inlineStr">
        <is>
          <t>Constructores</t>
        </is>
      </c>
      <c r="E45" s="5" t="inlineStr">
        <is>
          <t>PRODUCTO</t>
        </is>
      </c>
      <c r="F45" s="5" t="inlineStr">
        <is>
          <t>Pendiente</t>
        </is>
      </c>
      <c r="G45" s="5" t="n">
        <v>1</v>
      </c>
      <c r="H45" s="5" t="n">
        <v>1</v>
      </c>
      <c r="I45" s="4" t="inlineStr">
        <is>
          <t>05.01.03 (pendiente, CEO)</t>
        </is>
      </c>
    </row>
    <row r="46">
      <c r="A46" s="5" t="inlineStr">
        <is>
          <t>—</t>
        </is>
      </c>
      <c r="B46" s="33" t="inlineStr">
        <is>
          <t>06.01.02</t>
        </is>
      </c>
      <c r="C46" s="4" t="inlineStr">
        <is>
          <t>PUERTA G4 mensual: seguir, ampliar o parar. Si pierde más de lo escrito, se para sin discusión</t>
        </is>
      </c>
      <c r="D46" s="28" t="inlineStr">
        <is>
          <t>CEO</t>
        </is>
      </c>
      <c r="E46" s="5" t="inlineStr">
        <is>
          <t>PRODUCTO</t>
        </is>
      </c>
      <c r="F46" s="5" t="inlineStr">
        <is>
          <t>Pendiente</t>
        </is>
      </c>
      <c r="G46" s="5" t="inlineStr"/>
      <c r="H46" s="5" t="inlineStr"/>
      <c r="I46" s="4" t="inlineStr">
        <is>
          <t>06.01.01 (pendiente, Constructores)</t>
        </is>
      </c>
    </row>
    <row r="48" ht="46" customHeight="1">
      <c r="A48" s="35" t="inlineStr">
        <is>
          <t>Aviso de la regla 8 (CLAUDE.md): si la cola de arriba solo tuviera tareas de MOTOR, hay que parar y avisar al CEO; significa que la cola esta mal llena. Ahora mismo la cola tiene 3 de producto y 12 de motor.</t>
        </is>
      </c>
    </row>
  </sheetData>
  <mergeCells count="11">
    <mergeCell ref="A4:B4"/>
    <mergeCell ref="C6:H6"/>
    <mergeCell ref="A25:I25"/>
    <mergeCell ref="A2:I2"/>
    <mergeCell ref="C5:H5"/>
    <mergeCell ref="A5:B5"/>
    <mergeCell ref="A1:I1"/>
    <mergeCell ref="A9:I9"/>
    <mergeCell ref="C4:H4"/>
    <mergeCell ref="A48:I48"/>
    <mergeCell ref="A6:B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7"/>
  <sheetViews>
    <sheetView workbookViewId="0">
      <pane ySplit="4" topLeftCell="A5" activePane="bottomLeft" state="frozen"/>
      <selection pane="bottomLeft" activeCell="A1" sqref="A1"/>
    </sheetView>
  </sheetViews>
  <sheetFormatPr baseColWidth="8" defaultRowHeight="15"/>
  <cols>
    <col width="10" customWidth="1" min="1" max="1"/>
    <col width="58" customWidth="1" min="2" max="2"/>
    <col width="19" customWidth="1" min="3" max="3"/>
    <col width="16" customWidth="1" min="4" max="4"/>
    <col width="12" customWidth="1" min="5" max="5"/>
    <col width="56" customWidth="1" min="6" max="6"/>
    <col width="50" customWidth="1" min="7" max="7"/>
  </cols>
  <sheetData>
    <row r="1" ht="24" customHeight="1">
      <c r="A1" s="1" t="inlineStr">
        <is>
          <t>TODAS LAS TAREAS — WBS v0.9 · generado de 00-direccion/WBS.md</t>
        </is>
      </c>
      <c r="B1" s="2" t="n"/>
      <c r="C1" s="2" t="n"/>
      <c r="D1" s="2" t="n"/>
      <c r="E1" s="2" t="n"/>
      <c r="F1" s="2" t="n"/>
      <c r="G1" s="2" t="n"/>
    </row>
    <row r="2">
      <c r="A2" s="21" t="inlineStr">
        <is>
          <t>Una fila por tarea. Filtra por ESTADO con la flecha de la cabecera. Verde = hecha · amarillo = en curso · rojo = bloqueada. Las tareas del CEO llevan la columna RESPONSABLE en naranja. Los textos largos se cortan y se apunta al WBS: esto es la vista, no la fuente.</t>
        </is>
      </c>
      <c r="B2" s="22" t="n"/>
      <c r="C2" s="22" t="n"/>
      <c r="D2" s="22" t="n"/>
      <c r="E2" s="22" t="n"/>
      <c r="F2" s="22" t="n"/>
      <c r="G2" s="22" t="n"/>
    </row>
    <row r="4" ht="28" customHeight="1">
      <c r="A4" s="3" t="inlineStr">
        <is>
          <t>CODIGO</t>
        </is>
      </c>
      <c r="B4" s="3" t="inlineStr">
        <is>
          <t>QUE SE HACE</t>
        </is>
      </c>
      <c r="C4" s="3" t="inlineStr">
        <is>
          <t>RESPONSABLE</t>
        </is>
      </c>
      <c r="D4" s="3" t="inlineStr">
        <is>
          <t>DEPENDE DE</t>
        </is>
      </c>
      <c r="E4" s="3" t="inlineStr">
        <is>
          <t>ESTADO</t>
        </is>
      </c>
      <c r="F4" s="3" t="inlineStr">
        <is>
          <t>RESULTADO / DONDE ESTA</t>
        </is>
      </c>
      <c r="G4" s="3" t="inlineStr">
        <is>
          <t>FICHA (LO QUE SE ENCARGO)</t>
        </is>
      </c>
    </row>
    <row r="5" ht="20" customHeight="1">
      <c r="A5" s="36" t="inlineStr">
        <is>
          <t>01</t>
        </is>
      </c>
      <c r="B5" s="37" t="inlineStr">
        <is>
          <t>ARRANQUE (PUERTA G0)</t>
        </is>
      </c>
      <c r="C5" s="37" t="n"/>
      <c r="D5" s="37" t="n"/>
      <c r="E5" s="37" t="n"/>
      <c r="F5" s="37" t="n"/>
      <c r="G5" s="37" t="n"/>
    </row>
    <row r="6">
      <c r="A6" s="13" t="inlineStr">
        <is>
          <t>01.01.01</t>
        </is>
      </c>
      <c r="B6" s="4" t="inlineStr">
        <is>
          <t>Aprobar plan y reglas</t>
        </is>
      </c>
      <c r="C6" s="28" t="inlineStr">
        <is>
          <t>CEO</t>
        </is>
      </c>
      <c r="D6" s="4" t="inlineStr">
        <is>
          <t>—</t>
        </is>
      </c>
      <c r="E6" s="4" t="inlineStr">
        <is>
          <t>Hecha</t>
        </is>
      </c>
      <c r="F6" s="4" t="inlineStr">
        <is>
          <t>** 03/08 — FICHA (incumplimiento de regla 5 de CLAUDE.md declarado: se trabajó sin ficha previa): aprobación del WBS v0.7 (29/07/2026), que antecede a CLAUDE.md. El 01/08/2026 se aprobaron las decisiones D-1 a D-16, que ratificaban el WBS vigente más CLAUDE.md. El 03/08/2026 se aprobó D-17, que suspende la regla 8 de CLAUDE.md hasta que 03.01.05 esté hecha o llegue el 01/09/2026, lo que ocurra primero. CRITERIO DE HECHO: aprobación declarada en las decisiones del 01/08 (D-1 a D-16) y la del 03/08 (D-17) en 00-direccion/DECISIONES.md. RESUELTO: lo que el CEO aprobó el 29/07 (WBS v0.7 anterior a CLAUDE.md) se ratifica ahora por D-1 a D-16, que fijan la lista completa de valores, límites y […] texto completo en 00-direccion/WBS.md</t>
        </is>
      </c>
      <c r="G6" s="4" t="inlineStr"/>
    </row>
    <row r="7">
      <c r="A7" s="13" t="inlineStr">
        <is>
          <t>01.01.02</t>
        </is>
      </c>
      <c r="B7" s="4" t="inlineStr">
        <is>
          <t>Aprobar criterios de la puerta G1</t>
        </is>
      </c>
      <c r="C7" s="28" t="inlineStr">
        <is>
          <t>CEO</t>
        </is>
      </c>
      <c r="D7" s="4" t="inlineStr">
        <is>
          <t>01.01.01</t>
        </is>
      </c>
      <c r="E7" s="4" t="inlineStr">
        <is>
          <t>Hecha</t>
        </is>
      </c>
      <c r="F7" s="4" t="inlineStr">
        <is>
          <t>** 01/08 — opción A de la ficha: los 7 criterios G1-C1..G1-C7 aprobados (D-11). Recorrido: constructor-datos, investigador, crítico-código, validador. Propuesta inicial corregida en cuatro puntos por crítico y validador. FICHAS DE APOYO (localizadas en 07.01.01(c), 02/08): 01-investigacion/mercados/evidencia_umbrales_g1.md (investigador, evidencia externa; se autodeclara «Apoya a: 01.01.02») y 04-resultados/veredictos/veredicto_criterios_g1.md (validador, contraataque a la propuesta C1-C7; título propio «tarea 01.01.02»).</t>
        </is>
      </c>
      <c r="G7" s="4" t="inlineStr"/>
    </row>
    <row r="8">
      <c r="A8" s="13" t="inlineStr">
        <is>
          <t>01.01.03</t>
        </is>
      </c>
      <c r="B8" s="4" t="inlineStr">
        <is>
          <t>Fijar límites: fecha tope, horas CEO/semana, pérdida máxima futura</t>
        </is>
      </c>
      <c r="C8" s="28" t="inlineStr">
        <is>
          <t>CEO</t>
        </is>
      </c>
      <c r="D8" s="4" t="inlineStr">
        <is>
          <t>01.01.01</t>
        </is>
      </c>
      <c r="E8" s="4" t="inlineStr">
        <is>
          <t>Hecha</t>
        </is>
      </c>
      <c r="F8" s="4" t="inlineStr">
        <is>
          <t>01/08 — los tres limites firmados como D-12, D-13 y D-14** y escritos en la seccion «Limites del CEO» de este WBS. (1) FECHA TOPE 01/12/2026 + revision de avance el dia 1 de cada mes con poder de parar; GM gana una cuarta salida (parar). (2) 1 h los lunes como MINIMO garantizado, no techo, con tope de 5 fichas por revision. (3) DINERO REAL: aviso a -25% que no para nada, parada dura automatica a -30% del capital inicial ingresado, aplicada por el bot de forma continua (regla 26 de CLAUDE.md); genera requisito nuevo en 05.01.01 y 06.01.01. Resuelta la contradiccion que este WBS arrastraba (-25% propuesto frente a tolerancia declarada del 50-60%). No se reabrio el capital: los 1.000-2.000 € […] texto completo en 00-direccion/WBS.md</t>
        </is>
      </c>
      <c r="G8" s="4" t="inlineStr"/>
    </row>
    <row r="9">
      <c r="A9" s="13" t="inlineStr">
        <is>
          <t>01.02.01</t>
        </is>
      </c>
      <c r="B9" s="4" t="inlineStr">
        <is>
          <t>Analizar gb2 como información (no copia)</t>
        </is>
      </c>
      <c r="C9" s="4" t="inlineStr">
        <is>
          <t>Crítico</t>
        </is>
      </c>
      <c r="D9" s="4" t="inlineStr">
        <is>
          <t>01.01.01</t>
        </is>
      </c>
      <c r="E9" s="4" t="inlineStr">
        <is>
          <t>Hecha</t>
        </is>
      </c>
      <c r="F9" s="4" t="inlineStr">
        <is>
          <t>** 30/07 — INFORME_GB2.md. FICHA DE APOYO (localizada en 07.01.01(c), 02/08): 01-investigacion/herencia-gb2/HERENCIA_GB2.md, que se autodeclara en su primera línea «Tarea 01.02.01 cerrada. Fuente: INFORME_GB2.md» y contiene la ficha D6 del trasplante.</t>
        </is>
      </c>
      <c r="G9" s="4" t="inlineStr"/>
    </row>
    <row r="10">
      <c r="A10" s="13" t="inlineStr">
        <is>
          <t>01.02.03</t>
        </is>
      </c>
      <c r="B10"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0" s="4" t="inlineStr">
        <is>
          <t>Investigador</t>
        </is>
      </c>
      <c r="D10" s="4" t="inlineStr">
        <is>
          <t>03.01.02</t>
        </is>
      </c>
      <c r="E10" s="4" t="inlineStr">
        <is>
          <t>Hecha</t>
        </is>
      </c>
      <c r="F10" s="4" t="inlineStr"/>
      <c r="G10" s="4" t="inlineStr">
        <is>
          <t>FICHA (01/08): Aviso de proceso, dicho sin adornos: la ficha se escribe DESPUÉS del barrido, no antes, incumpliendo la regla 5 de CLAUDE.md. Motivo: el CEO pidió la investigación y la ampliación de alcance en la misma orden, en sesión. Queda anotado en vez de disimulado. Alcance ampliado: además del catálogo, fuentes oficiales de Anthropic (anthropics/, documentación de code.claude.com) y mecanismos nativos ya instalados y sin usar (hooks, reglas con ámbito de ruta, worktrees, subagentes […] texto completo en 00-direccion/WBS.md</t>
        </is>
      </c>
    </row>
    <row r="11">
      <c r="A11" s="13" t="inlineStr">
        <is>
          <t>01.02.04</t>
        </is>
      </c>
      <c r="B11" s="4" t="inlineStr">
        <is>
          <t>NUEVA 01/08 (petición del CEO): evaluar si merece la pena añadir servidores MCP al proyecto, con veredicto por servidor y regla de admisión escrita para el futuro. Carril de motor: cuenta contra el 20% y se limita a 1 tirada</t>
        </is>
      </c>
      <c r="C11" s="4" t="inlineStr">
        <is>
          <t>Investigador</t>
        </is>
      </c>
      <c r="D11" s="4" t="inlineStr">
        <is>
          <t>03.01.02</t>
        </is>
      </c>
      <c r="E11" s="4" t="inlineStr">
        <is>
          <t>Hecha</t>
        </is>
      </c>
      <c r="F11" s="4" t="inlineStr"/>
      <c r="G11" s="4" t="inlineStr">
        <is>
          <t>FICHA (01/08): Motivo de la tarea: el CEO pregunta si los MCP salen a cuenta aquí; no estaba medido en el WBS. Alcance: veredicto uno por uno sobre los servidores de referencia oficiales (filesystem, git, memory, sequential-thinking, fetch, time, everything, y sqlite, que está archivado upstream), sobre github, sobre los de datos de mercado (yfinance, TradingView, QuantConnect, ccxt), sobre los de broker (Kraken, Alpaca, IBKR) y sobre los de navegador (Playwright, Chrome DevTools). Filtros […] texto completo en 00-direccion/WBS.md</t>
        </is>
      </c>
    </row>
    <row r="12" ht="20" customHeight="1">
      <c r="A12" s="36" t="inlineStr">
        <is>
          <t>02</t>
        </is>
      </c>
      <c r="B12" s="37" t="inlineStr">
        <is>
          <t>ELEGIR MERCADO Y TAMAÑO DE VELA (PUERTA G1)</t>
        </is>
      </c>
      <c r="C12" s="37" t="n"/>
      <c r="D12" s="37" t="n"/>
      <c r="E12" s="37" t="n"/>
      <c r="F12" s="37" t="n"/>
      <c r="G12" s="37" t="n"/>
    </row>
    <row r="13">
      <c r="A13" s="13" t="inlineStr">
        <is>
          <t>02.01.01</t>
        </is>
      </c>
      <c r="B13" s="4" t="inlineStr">
        <is>
          <t>Confirmar 8 candidatos: EURUSD, GBPUSD, USDJPY, AUDUSD, USDCHF, XAUUSD, BTC, ETH</t>
        </is>
      </c>
      <c r="C13" s="28" t="inlineStr">
        <is>
          <t>CEO + Orquestador</t>
        </is>
      </c>
      <c r="D13" s="4" t="inlineStr">
        <is>
          <t>01.01.02</t>
        </is>
      </c>
      <c r="E13" s="4" t="inlineStr">
        <is>
          <t>Hecha</t>
        </is>
      </c>
      <c r="F13" s="4" t="inlineStr">
        <is>
          <t>03/08 — ratificado por la vía de los hechos: D-19** elige XAUUSD, y elegir un miembro del censo ratifica el censo del que sale. Los 8 se usaron en toda la Fase 02 (ATR, costes, correlaciones, arrastre). No queda ratificación formal pendiente.</t>
        </is>
      </c>
      <c r="G13" s="4" t="inlineStr"/>
    </row>
    <row r="14">
      <c r="A14" s="13" t="inlineStr">
        <is>
          <t>02.01.02</t>
        </is>
      </c>
      <c r="B14" s="4" t="inlineStr">
        <is>
          <t>Costes típicos de operar por mercado (PROVISIONAL hasta 04.01.02)</t>
        </is>
      </c>
      <c r="C14" s="4" t="inlineStr">
        <is>
          <t>Investigador</t>
        </is>
      </c>
      <c r="D14" s="4" t="inlineStr">
        <is>
          <t>02.01.01</t>
        </is>
      </c>
      <c r="E14" s="4" t="inlineStr">
        <is>
          <t>Hecha</t>
        </is>
      </c>
      <c r="F14" s="4" t="inlineStr">
        <is>
          <t>31/07 — coste_operar.md. Tabla final de coste de entrar y salir, 8 instrumentos, ida y vuelta, con tipo de cuenta declarado (raw/ECN vs spread-only, que no son comparables entre si). CORRECCIONES DE L-002 APLICADAS EN LA TABLA y no en nota al pie: USDJPY 1,16 pips (no 0,90) y USDCHF 0,73 pips (no 0,80). VERIFICADO por el orquestador: aritmetica de las 8 filas recalculada (spread + comision = total, cuadran las 6 con comision); las cifras citadas existen en el origen, localizadas por grep. RECORRIDO: primera entrega DEVUELTA por incumplir la regla 13 de CLAUDE.md (seis citas por numero de linea, que se rompen solas al editar el origen); corregida a referencias por seccion y fila de tabla, […] texto completo en 00-direccion/WBS.md</t>
        </is>
      </c>
      <c r="G14" s="4" t="inlineStr">
        <is>
          <t>FICHA (31/07): Alcance: tabla FINAL de coste de entrar y salir (spread + comision) para los 8 instrumentos, en la unidad natural de cada uno, ida y vuelta. Base ya existente: la Entrega 1 del Brief A (entrega_brief_A.md), ACEPTADA por el revisor con fuentes primarias (PDF oficiales de Pepperstone e IC Markets). No se rehace la investigacion: se consolida. Correcciones OBLIGATORIAS, aplicadas EN LA TABLA y no en nota al pie (L-002): USDJPY = 1,16 pips (no 0,90) y USDCHF = 0,73 pips (no 0,80); […] texto completo en 00-direccion/WBS.md</t>
        </is>
      </c>
    </row>
    <row r="15">
      <c r="A15" s="13" t="inlineStr">
        <is>
          <t>02.02.01</t>
        </is>
      </c>
      <c r="B15" s="4" t="inlineStr">
        <is>
          <t>CORREGIDA 29/07: descargar precios y CALCULAR el ATR de 15m, 1h y 4h (no buscarlo publicado: no existe). Script atr_local.py</t>
        </is>
      </c>
      <c r="C15" s="4" t="inlineStr">
        <is>
          <t>Constructor de datos</t>
        </is>
      </c>
      <c r="D15" s="4" t="inlineStr">
        <is>
          <t>02.01.01</t>
        </is>
      </c>
      <c r="E15" s="4" t="inlineStr">
        <is>
          <t>Hecha</t>
        </is>
      </c>
      <c r="F15" s="4" t="inlineStr">
        <is>
          <t>31/07 — precios_mercado.py, atr_15m_1h_4h.json, atr_real_15m_1h_4h.md. Tabla de 8 instrumentos x 3 velas, 24/24 celdas calculadas sobre precios descargados, 0 estimadas, 0 duplicados, 0 velas invalidas. Cordura del oro OK: 3.596,64 USD/oz, en miles. RECORRIDO: entregada, RECHAZADA por critico-codigo (bin incompleto contado como completo, en el filtro de ventana y en el primer bin de 4h de los 8 instrumentos), reparada en ronda 1, re-revisada y ACEPTADA. El critico recalculo el ATR desde los datos brutos con su propio codigo y coincide digito a digito con el script (XAUUSD 1h = 14.464676282400184, n=11824); verifico ademas que el descarte de bins de borde NO se come huecos legitimos (801 […] texto completo en 00-direccion/WBS.md</t>
        </is>
      </c>
      <c r="G15" s="4" t="inlineStr">
        <is>
          <t>FICHA (31/07): Fuente fijada: HistData para EURUSD, GBPUSD, USDJPY, AUDUSD y USDCHF · Dukascopy para XAUUSD al contado (NO el futuro GC=F, ver L-007) · Kraken para BTCUSD y ETHUSD contra dolar real, no contra Tether (L-007). Se jubila Yahoo/yfinance. Alcance: descargar historico suficiente para 2 años completos y calcular ATR(14) en velas de 15m, 1h y 4h para los 8 instrumentos. Corte: 22:00 UTC, unico para todos. Artefacto: un solo script que sirva tambien a 02.02.03 (T2 avisa: en gb2 la […] texto completo en 00-direccion/WBS.md</t>
        </is>
      </c>
    </row>
    <row r="16">
      <c r="A16" s="13" t="inlineStr">
        <is>
          <t>02.02.02</t>
        </is>
      </c>
      <c r="B16" s="4" t="inlineStr">
        <is>
          <t>Coste relativo: coste ÷ movimiento medio, en % (el número clave). Coste de USDJPY corregido a 1,16 pips</t>
        </is>
      </c>
      <c r="C16" s="4" t="inlineStr">
        <is>
          <t>Constructor de datos</t>
        </is>
      </c>
      <c r="D16" s="4" t="inlineStr">
        <is>
          <t>02.01.02, 02.02.01</t>
        </is>
      </c>
      <c r="E16" s="4" t="inlineStr">
        <is>
          <t>Hecha</t>
        </is>
      </c>
      <c r="F16" s="4" t="inlineStr">
        <is>
          <t>31/07 — coste_relativo.py, coste_relativo_15m_1h_4h.json, coste_relativo.md. ES EL CRITERIO 1 DE G1. Coste de ida y vuelta ÷ ATR x 100, 8 instrumentos x 3 velas, en CUATRO escenarios: vela media, mediana, tranquila (p10) y agitada (p90). RECORRIDO: entregada, RECHAZADA por critico-codigo (no por error de calculo —reejecuto el script y salio bit-identico— sino por un sesgo de metodo sin declarar), corregida y ACEPTADA. EL SESGO, hallado por el revisor y reproducido por el orquestador: el ATR medio de XAUUSD esta inflado respecto a su mediana (1,28-1,30) mas que el de ningun otro instrumento (0,985-1,144), porque su pausa diaria de 21:00-22:00 UTC genera un salto de rango UNA VEZ AL DIA […] texto completo en 00-direccion/WBS.md</t>
        </is>
      </c>
      <c r="G16" s="4" t="inlineStr">
        <is>
          <t>FICHA (31/07): Alcance: coste relativo = coste de ida y vuelta ÷ ATR medio de la vela x 100, para los 8 instrumentos x 3 velas (15m, 1h, 4h). Es el criterio 1 de la puerta G1: se exige ≤10-15%. Insumos, ambos ya cerrados y verificados: costes de coste_operar.md (02.01.02) y ATR de 04-resultados/atr_15m_1h_4h.json (02.02.01). No se recalcula ninguno de los dos. TRAMPA PRINCIPAL, declarada de antemano (L-002 y L-004): el JSON guarda el ATR en unidad CRUDA de precio, no en pips. El divisor de pip […] texto completo en 00-direccion/WBS.md</t>
        </is>
      </c>
    </row>
    <row r="17">
      <c r="A17" s="13" t="inlineStr">
        <is>
          <t>02.02.03</t>
        </is>
      </c>
      <c r="B17" s="4" t="inlineStr">
        <is>
          <t>CORREGIDA 30/07: CALCULAR la matriz de correlaciones en 3 ventanas (3 meses, 1 año, 2 años) con hora de corte única (22:00 UTC) y en la vela elegida, no solo diaria. No existe publicada de forma homogénea</t>
        </is>
      </c>
      <c r="C17" s="4" t="inlineStr">
        <is>
          <t>Constructor de datos</t>
        </is>
      </c>
      <c r="D17" s="4" t="inlineStr">
        <is>
          <t>02.01.01</t>
        </is>
      </c>
      <c r="E17" s="4" t="inlineStr">
        <is>
          <t>Hecha</t>
        </is>
      </c>
      <c r="F17" s="4" t="inlineStr">
        <is>
          <t>31/07 — correlaciones_mercado.py, correlaciones_8x8.json, correlaciones_8x8.md. 12 matrices 8x8 (3 ventanas x 4 velas, incluida la diaria) sobre RENDIMIENTOS logaritmicos, corte unico 22:00 UTC. ACEPTADA por critico-codigo sin ronda de reparacion. VERIFICADO POR EJECUCION por el revisor: recalculo 4 celdas con codigo propio y coinciden a 15 decimales; confirmo que correlaciona rendimientos y no precios (XAUUSD/USDJPY da +0,586 en precios frente a -0,060 en rendimientos); demostro que pandas ignora el offset con "1D" y que el codigo usa "24h", con el 100% de las velas diarias ancladas a las 22:00; y SIN REGRESION en precios_mercado.py, cuyo ATR regenerado sale identico digito a digito al […] texto completo en 00-direccion/WBS.md</t>
        </is>
      </c>
      <c r="G17" s="4" t="inlineStr">
        <is>
          <t>FICHA (31/07): Alcance: matriz de correlaciones 8x8 sobre RENDIMIENTOS logaritmicos (nunca sobre precios), en 3 ventanas (3 meses, 1 año, 2 años) y en LAS TRES VELAS (15m, 1h, 4h), mas la diaria como comprobacion. Por que las tres velas: la ficha original decia "en la vela elegida", pero la vela se elige en G1, que es despues; calcular las tres evita adivinar (regla 6 de CLAUDE.md) y deja a la puerta el dato elija la que elija. Corte: 22:00 UTC unico, imprescindible o los rendimientos no […] texto completo en 00-direccion/WBS.md</t>
        </is>
      </c>
    </row>
    <row r="18">
      <c r="A18" s="13" t="inlineStr">
        <is>
          <t>02.02.04</t>
        </is>
      </c>
      <c r="B18" s="4" t="inlineStr">
        <is>
          <t>Historial disponible: años, fuente, coste</t>
        </is>
      </c>
      <c r="C18" s="4" t="inlineStr">
        <is>
          <t>Investigador</t>
        </is>
      </c>
      <c r="D18" s="4" t="inlineStr">
        <is>
          <t>02.01.01</t>
        </is>
      </c>
      <c r="E18" s="4" t="inlineStr">
        <is>
          <t>Hecha</t>
        </is>
      </c>
      <c r="F18" s="4" t="inlineStr">
        <is>
          <t>** — Dukascopy (tick desde 2003, forex y oro al contado), HistData, TrueFX, Binance, Kraken. Todo gratis, muy por encima de los 5 años exigidos</t>
        </is>
      </c>
      <c r="G18" s="4" t="inlineStr"/>
    </row>
    <row r="19">
      <c r="A19" s="13" t="inlineStr">
        <is>
          <t>02.02.05</t>
        </is>
      </c>
      <c r="B19" s="4" t="inlineStr">
        <is>
          <t>NUEVA: coste de mantener posición de un día para otro (swap/financiación) en los 8 instrumentos, 2-3 brokers. En cripto CFD puede superar varias veces al spread</t>
        </is>
      </c>
      <c r="C19" s="4" t="inlineStr">
        <is>
          <t>Investigador</t>
        </is>
      </c>
      <c r="D19" s="4" t="inlineStr">
        <is>
          <t>02.01.01</t>
        </is>
      </c>
      <c r="E19" s="4" t="inlineStr">
        <is>
          <t>Hecha</t>
        </is>
      </c>
      <c r="F19" s="4" t="inlineStr">
        <is>
          <t>** 31/07 — coste_swap.md. Coste de mantener posicion en 8 instrumentos x 3 brokers (OANDA, XTB, Pepperstone), largo y corto por separado, en % anual y $/dia sobre 100.000 USD. VERIFICADO por recalculo independiente: las 30 celdas con % y $/dia cuadran; signos de USDJPY y USDCHF coherentes entre brokers (L-006 comprobada, sin inversion de convencion). HALLAZGO PARA G1: mantener cripto cuesta -33,6% anual (OANDA) y -22,5% (Pepperstone), entre 20 y 30 veces mas que entrar y salir; el oro -6,6%/-8,2%; y USDCHF y USDJPY en largo PAGAN (+2,6% y +1,6%). Implicacion: si entra cripto en el portafolio, la estrategia no puede aguantar posiciones de un dia para otro. HUECO DECLARADO: ETHUSD queda con […] texto completo en 00-direccion/WBS.md</t>
        </is>
      </c>
      <c r="G19" s="4" t="inlineStr"/>
    </row>
    <row r="20">
      <c r="A20" s="13" t="inlineStr">
        <is>
          <t>02.03.01</t>
        </is>
      </c>
      <c r="B20" s="4" t="inlineStr">
        <is>
          <t>Revisión independiente de método, fuentes y números</t>
        </is>
      </c>
      <c r="C20" s="4" t="inlineStr">
        <is>
          <t>Orquestador</t>
        </is>
      </c>
      <c r="D20" s="4" t="inlineStr">
        <is>
          <t>02.02.*</t>
        </is>
      </c>
      <c r="E20" s="4" t="inlineStr">
        <is>
          <t>Hecha</t>
        </is>
      </c>
      <c r="F20" s="4" t="inlineStr">
        <is>
          <t>02/08 — 04-resultados/veredictos/veredicto_fase_02.md y 03-motor/scripts/deriva_oro.py. Segunda pasada del RECHAZA del 31/07. ACEPTA CON HUECOS DECLARADOS, válido SOLO si el defecto del motivo 5 llega declarado al CEO en la ficha de G1; si se omite, decae y rige el RECHAZA. Balance: 4 cerrados (1, 3, 6, 7), 3 abiertos (2, 4, 5), el 5 escalado. Motivo 3 zanjado por ejecución: XAUUSD a 4h pasa de 2,32% a 4,22% y 5,43%, bajo el umbral del 10%, así que la deriva del coste del oro NO cambia el veredicto a 4h; sí lo rompe a 1h (11,01%) y a 15m (19,80-25,46%). Motivo 5 confirmado uno a uno: 7 de 8 instrumentos** mezclan broker o tipo de cuenta; solo BTCUSD comparte fuente. RECORRIDO: validador […] texto completo en 00-direccion/WBS.md</t>
        </is>
      </c>
      <c r="G20" s="4" t="inlineStr"/>
    </row>
    <row r="21">
      <c r="A21" s="13" t="inlineStr">
        <is>
          <t>02.03.02</t>
        </is>
      </c>
      <c r="B21" s="4" t="inlineStr">
        <is>
          <t>Informe de decisión: mercado y vela. El alcance original decía 3-5 mercados poco correlacionados y 1-2 velas, alcance que D-19 sustituye por un solo mercado</t>
        </is>
      </c>
      <c r="C21" s="4" t="inlineStr">
        <is>
          <t>Orquestador</t>
        </is>
      </c>
      <c r="D21" s="4" t="inlineStr">
        <is>
          <t>02.03.01</t>
        </is>
      </c>
      <c r="E21" s="4" t="inlineStr">
        <is>
          <t>Hecha</t>
        </is>
      </c>
      <c r="F21" s="4" t="inlineStr">
        <is>
          <t>03/08 — 01-investigacion/mercados/INFORME_DECISION_G1.md y 03-motor/scripts/cestas_g1.py. Escrito por el validador, RECHAZADO por critico-codigo en ronda 1 por tres motivos (la ficha colisionaba con D-18, ya firmada ese día; el máximo medido de 5,05x quedaba fuera de la ficha que lee el CEO, que decía 4,5x; ficha de 1.566 caracteres) y ACEPTADO en ronda 2 tras reparación del propio validador. Medido por ejecución y reproducido después por Claude Code: a 4h no existe ninguna cesta admisible de 4 ni de 5 instrumentos, existen exactamente 4 de 3**, y XAUUSD está en las cuatro. La condición del ACEPTA de 02.03.01 queda cumplida: el defecto del motivo 5 llegó declarado al CEO como AVISO 1.</t>
        </is>
      </c>
      <c r="G21" s="4" t="inlineStr"/>
    </row>
    <row r="22">
      <c r="A22" s="13" t="inlineStr">
        <is>
          <t>02.03.03</t>
        </is>
      </c>
      <c r="B22" s="4" t="inlineStr">
        <is>
          <t>PUERTA G1: el CEO elige</t>
        </is>
      </c>
      <c r="C22" s="28" t="inlineStr">
        <is>
          <t>CEO</t>
        </is>
      </c>
      <c r="D22" s="4" t="inlineStr">
        <is>
          <t>02.03.02</t>
        </is>
      </c>
      <c r="E22" s="4" t="inlineStr">
        <is>
          <t>Hecha</t>
        </is>
      </c>
      <c r="F22" s="4" t="inlineStr">
        <is>
          <t>03/08 — D-19: XAUUSD (oro al contado), vela de 4h, UN SOLO MERCADO. Opción propia del CEO, fuera de las cuatro presentadas. Deroga D-2** (portafolio de 3-5 mercados). La ampliación a un segundo mercado queda condicionada a que una hipótesis demuestre ganar dinero de verdad. Consecuencias registradas en D-19: G1-C5 queda sin objeto mientras haya un solo mercado, y los cinco huecos declarados del oro pasan a ser el riesgo entero del proyecto.</t>
        </is>
      </c>
      <c r="G22" s="4" t="inlineStr"/>
    </row>
    <row r="23" ht="20" customHeight="1">
      <c r="A23" s="36" t="inlineStr">
        <is>
          <t>03</t>
        </is>
      </c>
      <c r="B23" s="37" t="inlineStr">
        <is>
          <t>MONTAR LA CASA (CLAUDE CODE) — EN PARALELO CON LA FASE 02</t>
        </is>
      </c>
      <c r="C23" s="37" t="n"/>
      <c r="D23" s="37" t="n"/>
      <c r="E23" s="37" t="n"/>
      <c r="F23" s="37" t="n"/>
      <c r="G23" s="37" t="n"/>
    </row>
    <row r="24">
      <c r="A24" s="13" t="inlineStr">
        <is>
          <t>03.01.01</t>
        </is>
      </c>
      <c r="B24" s="4" t="inlineStr">
        <is>
          <t>Repositorio: carpetas, WBS texto, CLAUDE.md, DECISIONES.md, LECCIONES.md</t>
        </is>
      </c>
      <c r="C24" s="4" t="inlineStr">
        <is>
          <t>Constructores</t>
        </is>
      </c>
      <c r="D24" s="4" t="inlineStr">
        <is>
          <t>01.01.01</t>
        </is>
      </c>
      <c r="E24" s="4" t="inlineStr">
        <is>
          <t>Hecha</t>
        </is>
      </c>
      <c r="F24" s="4" t="inlineStr">
        <is>
          <t>30/07 — repo completo: carpetas, WBS, CLAUDE.md, DECISIONES.md, LECCIONES.md, plantillas y .gitignore (42 ficheros en git). AVISO regla 27 de CLAUDE.md NO VERIFICADA**: la prueba de inyección de datos no se ha ejecutado; 02-datos/ está vacío. Se ejecuta al bajar los primeros precios en 02.02.01</t>
        </is>
      </c>
      <c r="G24" s="4" t="inlineStr"/>
    </row>
    <row r="25">
      <c r="A25" s="13" t="inlineStr">
        <is>
          <t>03.01.02</t>
        </is>
      </c>
      <c r="B25" s="4" t="inlineStr">
        <is>
          <t>Crear TODOS los agentes del Equipo, cada uno con su modelo y descripción sin ambigüedad; prueba de activación de todos (ningún agente fantasma)</t>
        </is>
      </c>
      <c r="C25" s="4" t="inlineStr">
        <is>
          <t>Constructores</t>
        </is>
      </c>
      <c r="D25" s="4" t="inlineStr">
        <is>
          <t>03.01.01, 01.02.01</t>
        </is>
      </c>
      <c r="E25" s="4" t="inlineStr">
        <is>
          <t>Hecha</t>
        </is>
      </c>
      <c r="F25" s="4" t="inlineStr">
        <is>
          <t>** 30/07 — 8 agentes en .claude/agents/, cada uno con identificador exacto de modelo y respaldo. Prueba de activación ejecutada 30/07: los 8 respondieron y leyeron un fichero real, ningún fantasma. LÍMITE: la prueba no demuestra que el modelo enrutado sea el de la ficha; se verifica en 03.01.04, con atención a claude-fable-5 (validador y arquitecto)</t>
        </is>
      </c>
      <c r="G25" s="4" t="inlineStr"/>
    </row>
    <row r="26">
      <c r="A26" s="13" t="inlineStr">
        <is>
          <t>03.01.03</t>
        </is>
      </c>
      <c r="B26" s="4" t="inlineStr">
        <is>
          <t>Ejecución desatendida: arranques programados, permisos AMPLIOS por defecto (git como red de seguridad) y topes de gasto</t>
        </is>
      </c>
      <c r="C26" s="4" t="inlineStr">
        <is>
          <t>Constructores</t>
        </is>
      </c>
      <c r="D26" s="4" t="inlineStr">
        <is>
          <t>03.01.02</t>
        </is>
      </c>
      <c r="E26" s="4" t="inlineStr">
        <is>
          <t>Pendiente</t>
        </is>
      </c>
      <c r="F26" s="4" t="inlineStr"/>
      <c r="G26" s="4" t="inlineStr">
        <is>
          <t>FICHA (03/08, D-20): Cómo se arranca: claude -p en modo no interactivo lanzado desde el cron del sistema. Los arranques programados son dos líneas de crontab y no requieren ninguna pieza externa. Cómo se avisa al humano sin instalar nada, idea 5 de las auditorías: hook nativo de tipo http, que hace el POST él mismo sin script intermedio, con los eventos StopFailure (admite matcher por tipo de error), Notification con matchers idle_prompt y permission_prompt —que detectan la tirada parada […] texto completo en 00-direccion/WBS.md</t>
        </is>
      </c>
    </row>
    <row r="27">
      <c r="A27" s="13" t="inlineStr">
        <is>
          <t>03.01.04</t>
        </is>
      </c>
      <c r="B27" s="4" t="inlineStr">
        <is>
          <t>Plan de respaldo de modelos: si un modelo no está disponible o rechaza, el agente sigue con su respaldo y lo anota</t>
        </is>
      </c>
      <c r="C27" s="4" t="inlineStr">
        <is>
          <t>Constructores</t>
        </is>
      </c>
      <c r="D27" s="4" t="inlineStr">
        <is>
          <t>03.01.02</t>
        </is>
      </c>
      <c r="E27" s="4" t="inlineStr">
        <is>
          <t>Pendiente</t>
        </is>
      </c>
      <c r="F27" s="4" t="inlineStr"/>
      <c r="G27" s="4" t="inlineStr">
        <is>
          <t>FICHA (03/08, D-20) — CORRECCIÓN DE ALCANCE, dicha sin adornos: esta tarea prometía que el agente «sigue con su respaldo», y eso no se puede automatizar entero: un hook no puede cambiar el modelo (CORRECCIÓN DE ALCANCE (04/08, reproducida por el orquestador): cierto que un hook no cambia de modelo, pero existe --fallback-model &lt;model&gt; — "Enable automatic fallback to specified model(s) when the default model is overloaded or not available. Accepts a comma-separated list to try each in order. […] texto completo en 00-direccion/WBS.md</t>
        </is>
      </c>
    </row>
    <row r="28">
      <c r="A28" s="13" t="inlineStr">
        <is>
          <t>03.01.05</t>
        </is>
      </c>
      <c r="B28" s="4" t="inlineStr">
        <is>
          <t>PRUEBA REAL DEL MOTOR: un día entero de trabajo desatendido de verdad antes de dar la fase por buena</t>
        </is>
      </c>
      <c r="C28" s="4" t="inlineStr">
        <is>
          <t>Orquestador</t>
        </is>
      </c>
      <c r="D28" s="4" t="inlineStr">
        <is>
          <t>03.01.03, 03.01.04</t>
        </is>
      </c>
      <c r="E28" s="4" t="inlineStr">
        <is>
          <t>Pendiente</t>
        </is>
      </c>
      <c r="F28" s="4" t="inlineStr"/>
      <c r="G28" s="4" t="inlineStr"/>
    </row>
    <row r="29">
      <c r="A29" s="13" t="inlineStr">
        <is>
          <t>03.01.06</t>
        </is>
      </c>
      <c r="B29" s="4" t="inlineStr">
        <is>
          <t>Plantilla y automatismo de fichas de decisión: el secretario prepara cada decisión del CEO en el formato obligatorio y la adjunta al informe semanal</t>
        </is>
      </c>
      <c r="C29" s="4" t="inlineStr">
        <is>
          <t>Secretario</t>
        </is>
      </c>
      <c r="D29" s="4" t="inlineStr">
        <is>
          <t>03.01.02</t>
        </is>
      </c>
      <c r="E29" s="4" t="inlineStr">
        <is>
          <t>Pendiente</t>
        </is>
      </c>
      <c r="F29" s="4" t="inlineStr"/>
      <c r="G29" s="4" t="inlineStr"/>
    </row>
    <row r="30">
      <c r="A30" s="13" t="inlineStr">
        <is>
          <t>03.01.07</t>
        </is>
      </c>
      <c r="B30" s="4" t="inlineStr">
        <is>
          <t>Cola de aprobación del CEO: tabla con desplegable Aprobado / Saltar / Corregir y columna de corrección. Lo aprobado se ejecuta solo; lo corregido se rehace Y la corrección se guarda en LECCIONES.md</t>
        </is>
      </c>
      <c r="C30" s="4" t="inlineStr">
        <is>
          <t>Secretario</t>
        </is>
      </c>
      <c r="D30" s="4" t="inlineStr">
        <is>
          <t>03.01.06</t>
        </is>
      </c>
      <c r="E30" s="4" t="inlineStr">
        <is>
          <t>Pendiente</t>
        </is>
      </c>
      <c r="F30" s="4" t="inlineStr"/>
      <c r="G30" s="4" t="inlineStr"/>
    </row>
    <row r="31">
      <c r="A31" s="13" t="inlineStr">
        <is>
          <t>03.01.08</t>
        </is>
      </c>
      <c r="B31" s="4" t="inlineStr">
        <is>
          <t>Prueba de fuego de las barreras (regla 25 de CLAUDE.md): inyectar cada caso prohibido —leer el cajón reservado, escribir fuera del proyecto, borrar datos, gastar dinero— y comprobar que se bloquea de verdad. Lo que no se bloquee se marca "no verificada"</t>
        </is>
      </c>
      <c r="C31" s="4" t="inlineStr">
        <is>
          <t>Crítico</t>
        </is>
      </c>
      <c r="D31" s="4" t="inlineStr">
        <is>
          <t>03.01.01, 03.01.02</t>
        </is>
      </c>
      <c r="E31" s="4" t="inlineStr">
        <is>
          <t>En curso</t>
        </is>
      </c>
      <c r="F31" s="4" t="inlineStr">
        <is>
          <t>* — ejecutada la primera pasada 31/07 con verificar_barreras.py: 4 barreras de 5 VERIFICADAS por ejecucion (hooks instalados, datos rechazados en commit, .gitignore ignora 02-datos, mensaje exige codigo WBS). 1 NO VERIFICADA: el cajon reservado era un filtro de texto sobre el comando. CORRECCIÓN DE DEPENDENCIA (03/08/2026): la dependencia de 03.01.03 fue falsa desde el inicio — verificar_barreras.py ejecutada el 31/07 sin que 03.01.03 existiera ya. Las barreras probadas (hooks, .gitignore, commit-msg, cifrado) dependen de 03.01.01 (repo con WBS y reglas) y 03.01.02 (ocho agentes creados). Se remedia en 03.01.11 (D-10). No se cierra hasta repetir la pasada con 03.01.11 terminada SEGUNDA […] texto completo en 00-direccion/WBS.md</t>
        </is>
      </c>
      <c r="G31" s="4" t="inlineStr"/>
    </row>
    <row r="32">
      <c r="A32" s="13" t="inlineStr">
        <is>
          <t>03.01.09</t>
        </is>
      </c>
      <c r="B32" s="4" t="inlineStr">
        <is>
          <t>Enrutado por tipo de tarea y comprobación de que el WBS genera tareas de cada tipo de agente (ver L-010 de LECCIONES.md; sin número propio en CLAUDE.md)</t>
        </is>
      </c>
      <c r="C32" s="4" t="inlineStr">
        <is>
          <t>Constructores</t>
        </is>
      </c>
      <c r="D32" s="4" t="inlineStr">
        <is>
          <t>03.01.02</t>
        </is>
      </c>
      <c r="E32" s="4" t="inlineStr">
        <is>
          <t>Pendiente</t>
        </is>
      </c>
      <c r="F32" s="4" t="inlineStr"/>
      <c r="G32" s="4" t="inlineStr"/>
    </row>
    <row r="33">
      <c r="A33" s="13" t="inlineStr">
        <is>
          <t>03.01.10</t>
        </is>
      </c>
      <c r="B33" s="4" t="inlineStr">
        <is>
          <t>Testbed sintético de invarianza: resultado de referencia fijo que debe reproducirse tras cualquier cambio del motor</t>
        </is>
      </c>
      <c r="C33" s="4" t="inlineStr">
        <is>
          <t>Constructores</t>
        </is>
      </c>
      <c r="D33" s="4" t="inlineStr">
        <is>
          <t>03.01.01</t>
        </is>
      </c>
      <c r="E33" s="4" t="inlineStr">
        <is>
          <t>Pendiente</t>
        </is>
      </c>
      <c r="F33" s="4" t="inlineStr"/>
      <c r="G33" s="4" t="inlineStr"/>
    </row>
    <row r="34">
      <c r="A34" s="13" t="inlineStr">
        <is>
          <t>03.01.13</t>
        </is>
      </c>
      <c r="B34" s="4" t="inlineStr">
        <is>
          <t>NUEVA 01/08 (L-015): una sola lista de reglas. Hoy CLAUDE.md y este WBS llevan cada uno una lista de «29 reglas» con contenido distinto bajo el mismo número, así que toda cita regla N del proyecto es ambigua</t>
        </is>
      </c>
      <c r="C34" s="28" t="inlineStr">
        <is>
          <t>Constructores + CEO</t>
        </is>
      </c>
      <c r="D34" s="4" t="inlineStr">
        <is>
          <t>—</t>
        </is>
      </c>
      <c r="E34" s="4" t="inlineStr">
        <is>
          <t>Hecha</t>
        </is>
      </c>
      <c r="F34" s="4" t="inlineStr"/>
      <c r="G34" s="4" t="inlineStr">
        <is>
          <t>FICHA (01/08): Hallazgo, comprobado por grep sobre los dos ficheros el 01/08: regla 16 = «nadie valida su propio trabajo» (CLAUDE.md) frente a «test de compuerta» (WBS) · regla 23 = «dos niveles de barrera» frente a «un fallo reportado no es un fallo verificado» · regla 25 = «toda barrera se verifica por ejecución» frente a «cada agente lleva el identificador exacto de su modelo». Por qué importa: la regla 12 de CLAUDE.md exige que toda cita se localice con grep antes de entrar en un informe; […] texto completo en 00-direccion/WBS.md</t>
        </is>
      </c>
    </row>
    <row r="35">
      <c r="A35" s="13" t="inlineStr">
        <is>
          <t>03.01.11</t>
        </is>
      </c>
      <c r="B35" s="4" t="inlineStr">
        <is>
          <t>NUEVA 31/07 (D-10): guardia del cajon reservado por cifrado. Script cajon_reservado.py: la contraseña solo la tiene el CEO, no se guarda, se pide en cada operacion y nada se descifra a disco</t>
        </is>
      </c>
      <c r="C35" s="4" t="inlineStr">
        <is>
          <t>Constructores</t>
        </is>
      </c>
      <c r="D35" s="4" t="inlineStr">
        <is>
          <t>03.01.08</t>
        </is>
      </c>
      <c r="E35" s="4" t="inlineStr">
        <is>
          <t>En curso</t>
        </is>
      </c>
      <c r="F35" s="4" t="inlineStr">
        <is>
          <t>script escrito y probado por ejecucion 31/07: 6 de 6 casos prohibidos bloqueados (contraseña por tuberia, abrir sin declarar variante, lectura a pelo del fichero cifrado, contraseña incorrecta, y ninguna orden de terminal vuelca datos en claro). VERIFICADO POR EJECUCION (03/08/2026): 04-resultados/registro-cajon.md registra una entrada SELLAR del 31/07 a las 18:31:29 UTC con resultado sellado. La funcion sellar() en cajon_reservado.py aborta con mensaje «El cajon ya esta sellado» si se intenta llamar una segunda vez. El CEO confirmo el 03/08/2026 que la contraseña la tecleo en una terminal real del sistema (nunca mediante el prefijo de ejecucion rapida de la sesion de Claude Code), porque […] texto completo en 00-direccion/WBS.md</t>
        </is>
      </c>
      <c r="G35" s="4" t="inlineStr"/>
    </row>
    <row r="36">
      <c r="A36" s="13" t="inlineStr">
        <is>
          <t>03.01.14</t>
        </is>
      </c>
      <c r="B36"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C36" s="4" t="inlineStr">
        <is>
          <t>Constructores</t>
        </is>
      </c>
      <c r="D36" s="4" t="inlineStr">
        <is>
          <t>03.01.13</t>
        </is>
      </c>
      <c r="E36" s="4" t="inlineStr">
        <is>
          <t>Pendiente</t>
        </is>
      </c>
      <c r="F36" s="4" t="inlineStr">
        <is>
          <t>**</t>
        </is>
      </c>
      <c r="G36" s="4" t="inlineStr"/>
    </row>
    <row r="37">
      <c r="A37" s="13" t="inlineStr">
        <is>
          <t>03.01.15</t>
        </is>
      </c>
      <c r="B37" s="4" t="inlineStr">
        <is>
          <t>Herramientas del secretario: puede escribir los registros que solo admiten añadir pero no puede verificarlos</t>
        </is>
      </c>
      <c r="C37" s="4" t="inlineStr">
        <is>
          <t>Constructores</t>
        </is>
      </c>
      <c r="D37" s="4" t="inlineStr">
        <is>
          <t>03.01.02</t>
        </is>
      </c>
      <c r="E37" s="4" t="inlineStr">
        <is>
          <t>Hecha</t>
        </is>
      </c>
      <c r="F37" s="4" t="inlineStr">
        <is>
          <t>10/08</t>
        </is>
      </c>
      <c r="G37" s="4" t="inlineStr">
        <is>
          <t>NUEVA 02/08 (tres incidentes reales el 02/08): secretario mantiene los tres registros que solo admiten añadir y todas las fichas del CEO, y no tiene Bash: no puede comprobar por ejecución ninguna de las reglas que gobiernan su trabajo. El 02/08 falló tres veces por lo mismo — no pudo verificar el pegado en tabla, ni el append-only, ni el ancho de su ficha — y las tres las descubrió otro agente, que es la regla 15 de CLAUDE.md rota por diseño, no por descuido. Decidir entre dos salidas, y NO se […] texto completo en 00-direccion/WBS.md</t>
        </is>
      </c>
    </row>
    <row r="38">
      <c r="A38" s="13" t="inlineStr">
        <is>
          <t>03.01.16</t>
        </is>
      </c>
      <c r="B38" s="4" t="inlineStr">
        <is>
          <t>Las hojas del Excel se construyen de sus fuentes primarias, no de copias</t>
        </is>
      </c>
      <c r="C38" s="4" t="inlineStr">
        <is>
          <t>Constructores</t>
        </is>
      </c>
      <c r="D38" s="4" t="inlineStr">
        <is>
          <t>03.01.13, 03.01.14</t>
        </is>
      </c>
      <c r="E38" s="4" t="inlineStr">
        <is>
          <t>Hecha</t>
        </is>
      </c>
      <c r="F38" s="4" t="inlineStr">
        <is>
          <t>el 03/08», que llevaba la marca sin guion delante) que se detectó y reparó antes de terminar. Las dos demostradas por inyección en 05-vista-ceo/prueba_inyeccion.sh, casos 6 y 7 nuevos (función probar_argv, con el mismo guardia FIXTURE de L-026): el caso 6 añade una lección a una copia de LECCIONES.md sin tocar el Excel y hace caer la prueba de recuento; el caso 7 inserta una marca pendiente sin guion delante 40 caracteres antes del cierre real de una celda y hace caer solo la prueba de posición, sin falsear el ESTADO leído (igual que describe el mecanismo del bug). bash 05-vista-ceo/prueba_inyeccion.sh caza los 7 casos salvo el 3, que ya fallaba ANTES de esta tarea: usa el código 07.01.03 […] texto completo en 00-direccion/WBS.md</t>
        </is>
      </c>
      <c r="G38" s="4" t="inlineStr">
        <is>
          <t>FICHA (03/08): Problema verificado hoy: 05-vista-ceo/generar_excel.py construye las hojas REGLAS, LECCIONES y DECISIONES, pero lo hace leyendo tablas espejo en el WBS, no de las fuentes primarias. Consecuencia, medida el 03/08 y ya caducada en sus cifras concretas —de ahí la reescritura del 04/08 más abajo, la fuente sigue viva y crece cada día—: (1) hoja REGLAS sale vacía tras D-16 (las reglas ya no están numeradas en el WBS); (2) hoja LECCIONES muestra 18 cuando 00-direccion/LECCIONES.md […] texto completo en 00-direccion/WBS.md</t>
        </is>
      </c>
    </row>
    <row r="39">
      <c r="A39" s="13" t="inlineStr">
        <is>
          <t>03.01.17</t>
        </is>
      </c>
      <c r="B39" s="4" t="inlineStr">
        <is>
          <t>Reparar la prueba 7 de verificar_excel.py (entregables de las tareas hechas)</t>
        </is>
      </c>
      <c r="C39" s="4" t="inlineStr">
        <is>
          <t>Constructor de motor</t>
        </is>
      </c>
      <c r="D39" s="4" t="inlineStr">
        <is>
          <t>03.01.13</t>
        </is>
      </c>
      <c r="E39" s="4" t="inlineStr">
        <is>
          <t>Pendiente</t>
        </is>
      </c>
      <c r="F39" s="4" t="inlineStr"/>
      <c r="G39" s="4" t="inlineStr">
        <is>
          <t>FICHA (03/08): Problema reproducido hoy: la prueba 7 localiza entregables citados en las celdas de tarea, pero corta cada celda por el primer hecha y solo examina lo que va después. En 03.01.13 ese marcador es el último carácter de la celda, así que examina cero ficheros y no caza que esa tarea, marcada hecha, cita 00-direccion/PENDIENTE-03.01.13-lista-de-reglas.md, que no existe en disco ni ha existido nunca en git. Dos defectos más: busca por nombre de fichero en CUALQUIER parte del […] texto completo en 00-direccion/WBS.md</t>
        </is>
      </c>
    </row>
    <row r="40">
      <c r="A40" s="13" t="inlineStr">
        <is>
          <t>03.01.18</t>
        </is>
      </c>
      <c r="B40" s="4" t="inlineStr">
        <is>
          <t>NUEVA 03/08 (D-20, idea 1 de las auditorías): contador mecánico del reparto producto/motor, inyectado en el contexto al arrancar cada tirada</t>
        </is>
      </c>
      <c r="C40" s="4" t="inlineStr">
        <is>
          <t>Constructores</t>
        </is>
      </c>
      <c r="D40" s="4" t="inlineStr">
        <is>
          <t>03.01.01</t>
        </is>
      </c>
      <c r="E40" s="4" t="inlineStr">
        <is>
          <t>Hecha</t>
        </is>
      </c>
      <c r="F40" s="4" t="inlineStr">
        <is>
          <t>12/08 — contador .claude/hooks/contador_producto_motor.py, hook SessionStart montado; reproduce 43,8% sobre los 16 commits del 01/08 FICHA (03/08): Problema, medido y no supuesto: el techo del 20% de motor de la regla 8 de CLAUDE.md es prosa y nadie lo mide. La primera vez que se midió, el 01/08, el reparto real era 7 de 16 commits, 43,8%, más del doble del techo, y el proyecto llevaba desde el arranque sin saberlo. Qué se construye: un hook SessionStart que calcula el reparto desde git log y lo inyecta en el contexto con hookSpecificOutput.additionalContext, de forma que cada tirada empiece con el número delante en vez de con la buena intención. Regla de clasificación obligatoria, ya […] texto completo en 00-direccion/WBS.md</t>
        </is>
      </c>
      <c r="G40" s="4" t="inlineStr"/>
    </row>
    <row r="41">
      <c r="A41" s="13" t="inlineStr">
        <is>
          <t>03.01.21</t>
        </is>
      </c>
      <c r="B41" s="4" t="inlineStr">
        <is>
          <t>Diagnóstico medido del consumo de tokens del motor de agentes</t>
        </is>
      </c>
      <c r="C41" s="4" t="inlineStr">
        <is>
          <t>Secretario</t>
        </is>
      </c>
      <c r="D41" s="4" t="inlineStr">
        <is>
          <t>03.01.01</t>
        </is>
      </c>
      <c r="E41" s="4" t="inlineStr">
        <is>
          <t>Hecha</t>
        </is>
      </c>
      <c r="F41" s="4" t="inlineStr">
        <is>
          <t>04/08 — medición sobre el transcript en disco de la sesión del 03-04/08 (/home/server/.claude/projects/-home-server-projects-bot-trading/1d064480-a2c4-42fd-a199-5fd72ce78fd9.jsonl y su carpeta subagents/). Hilo principal: 207 peticiones, 94,9 M de tokens leídos de cache, contexto pico 794.459, contexto medio ~452.000. 75 subagentes: 1.293 peticiones, 114,8 M leídos, 11,5 M escritos. Total ~209,7 M en una sola sesión. Causa identificada: el coste crece con el cuadrado de los pasos dados dentro de una misma conversación, sobre un suelo fijo de ~85.000 tokens por conversación. Correcciones aplicadas al propio diagnóstico tras revisión de critico-codigo: el ahorro estimado bajó de "5x" y de un […] texto completo en 00-direccion/WBS.md</t>
        </is>
      </c>
      <c r="G41" s="4" t="inlineStr"/>
    </row>
    <row r="42">
      <c r="A42" s="13" t="inlineStr">
        <is>
          <t>03.01.22</t>
        </is>
      </c>
      <c r="B42" s="4" t="inlineStr">
        <is>
          <t>Inventario por ejecución de los mecanismos de trabajo desatendido en esta máquina</t>
        </is>
      </c>
      <c r="C42" s="4" t="inlineStr">
        <is>
          <t>Constructor de motor</t>
        </is>
      </c>
      <c r="D42" s="4" t="inlineStr">
        <is>
          <t>03.01.01</t>
        </is>
      </c>
      <c r="E42" s="4" t="inlineStr">
        <is>
          <t>Hecha</t>
        </is>
      </c>
      <c r="F42" s="4" t="inlineStr">
        <is>
          <t>04/08 — ejecutado por constructor-motor, revisado por critico-codigo. Probado por ejecución: tmux 3.4 presente · cron corriendo (PID 156, activo bajo systemd, persiste tras reinicio) · systemd real en esta WSL2 · flock y jq presentes · screen, at, notify-send, mail y sendmail NO instalados · claude 2.1.221. Hallazgos: --max-budget-usd existe (solo con --print) · --max-turns existe pero oculto, no sale en claude --help · --fallback-model existe · en modo -p un permiso no se queda colgado: se resuelve solo. HUECOS:** no hay forma de avisar al CEO fuera de la máquina sin webhook, porque no hay notify-send ni correo. Pendiente de decisión del CEO. Que --max-budget-usd corte de verdad no está […] texto completo en 00-direccion/WBS.md</t>
        </is>
      </c>
      <c r="G42" s="4" t="inlineStr"/>
    </row>
    <row r="43">
      <c r="A43" s="13" t="inlineStr">
        <is>
          <t>03.01.23</t>
        </is>
      </c>
      <c r="B43" s="4" t="inlineStr">
        <is>
          <t>Encadenador de trabajo desatendido: una conversación por tarea</t>
        </is>
      </c>
      <c r="C43" s="4" t="inlineStr">
        <is>
          <t>Constructor de motor</t>
        </is>
      </c>
      <c r="D43" s="4" t="inlineStr">
        <is>
          <t>03.01.02</t>
        </is>
      </c>
      <c r="E43" s="4" t="inlineStr">
        <is>
          <t>En curso</t>
        </is>
      </c>
      <c r="F43" s="4" t="inlineStr">
        <is>
          <t>. No se enciende: depende de una tirada real supervisada y de 03.01.08. CRITERIO DE HECHO (no cambia): una tirada que arranque sola sin nadie delante, y la tabla muro/prosa con cada línea "muro" disparada por inyección. (Tabla muro/prosa en 03-motor/desatendido/LEEME.md, líneas 62-81; 13 mecanismos: 12 MURO verificados por ejecución, 1 NO verificado.)</t>
        </is>
      </c>
      <c r="G43" s="4" t="inlineStr">
        <is>
          <t>REDUCCIÓN ORDENADA POR EL CEO (04/08): la pieza se había crecido con gobernanza que él nunca pidió. Se borraron: lista-verde.txt (y toda su barrera de autorización) · los topes en dólares (MAX_BUDGET_USD_SESION, MAX_BUDGET_USD_DIARIO, gasto-.tsv) · crontab.propuesto.txt (arranques programados) · hook-notificacion.ejemplo.json (aviso al móvil) · cola.txt, progreso.tsv y --disallowedTools. Petición literal del CEO: "en vez de enlazar tantas tareas seguidas se parará antes para no consumir tokens […] texto completo en 00-direccion/WBS.md</t>
        </is>
      </c>
    </row>
    <row r="44" ht="20" customHeight="1">
      <c r="A44" s="36" t="inlineStr">
        <is>
          <t>04</t>
        </is>
      </c>
      <c r="B44" s="37" t="inlineStr">
        <is>
          <t>HIPÓTESIS Y VALIDACIÓN (PUERTA G2)</t>
        </is>
      </c>
      <c r="C44" s="37" t="n"/>
      <c r="D44" s="37" t="n"/>
      <c r="E44" s="37" t="n"/>
      <c r="F44" s="37" t="n"/>
      <c r="G44" s="37" t="n"/>
    </row>
    <row r="45">
      <c r="A45" s="38" t="inlineStr">
        <is>
          <t>04.01</t>
        </is>
      </c>
      <c r="B45" s="39" t="inlineStr">
        <is>
          <t>Broker y cajones de datos</t>
        </is>
      </c>
      <c r="C45" s="39" t="n"/>
      <c r="D45" s="39" t="n"/>
      <c r="E45" s="39" t="n"/>
      <c r="F45" s="39" t="n"/>
      <c r="G45" s="39" t="n"/>
    </row>
    <row r="46">
      <c r="A46" s="13" t="inlineStr">
        <is>
          <t>04.01.01</t>
        </is>
      </c>
      <c r="B46" s="4" t="inlineStr">
        <is>
          <t>Comparar 3-4 brokers del mercado elegido; elegir uno y abrir demo (CEO firma)</t>
        </is>
      </c>
      <c r="C46" s="28" t="inlineStr">
        <is>
          <t>CEO + Orquestador</t>
        </is>
      </c>
      <c r="D46" s="4" t="inlineStr">
        <is>
          <t>02.03.03</t>
        </is>
      </c>
      <c r="E46" s="4" t="inlineStr">
        <is>
          <t>En curso</t>
        </is>
      </c>
      <c r="F46" s="4" t="inlineStr">
        <is>
          <t>RONDA 2 CERRADA EN FALSO 06/08. Revisión del validador (revision_04.01.01.md): RECHAZA con 7 motivos. Auditoría de critico-codigo: RECHAZA la revisión. Seis motivos confirmados por método propio, entre ellos una CITA LITERAL FALSA —la celda del criterio 12 de IC Markets atribuía a su fichero de FAQs una condición del «90%» que solo existe en la de Pepperstone— y 11 celdas de 84 con dato sin fuente. P8 ANULADO: la orden que lo pidió añadió como eliminatorios los criterios 5 y 6, que esta ficha no declara; la palabra no aparecía más que una vez en el WBS, pegada al criterio 1, y eso se comprueba contra el commit da93597, no contra el fichero de hoy: este mismo párrafo añade dos apariciones […] texto completo en 00-direccion/WBS.md</t>
        </is>
      </c>
      <c r="G46" s="4" t="inlineStr">
        <is>
          <t>FICHA (04/08, dictada por el orquestador): Por qué ahora: 02.03.03 cerró el 03/08 con D-19 y esta tarea quedó desbloqueada; es la única con plazo duro —10/08, sin retorno— y quedan 6 días. Alcance: comparar 3 o 4 brokers que ofrezcan XAUUSD al contado y entregar la tabla para que el CEO firme. PROHIBIDO ELEGIR: la elección es del CEO. Criterios obligatorios, uno por columna: (1) lote mínimo, y si admite fraccionado de 0,1 onzas —es eliminatorio de hecho: el lote entero son unos 1.962 € contra […] texto completo en 00-direccion/WBS.md</t>
        </is>
      </c>
    </row>
    <row r="47">
      <c r="A47" s="13" t="inlineStr">
        <is>
          <t>04.01.02</t>
        </is>
      </c>
      <c r="B47"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C47" s="4" t="inlineStr">
        <is>
          <t>Constructor datos</t>
        </is>
      </c>
      <c r="D47" s="4" t="inlineStr">
        <is>
          <t>04.01.01</t>
        </is>
      </c>
      <c r="E47" s="4" t="inlineStr">
        <is>
          <t>Pendiente</t>
        </is>
      </c>
      <c r="F47" s="4" t="inlineStr"/>
      <c r="G47" s="4" t="inlineStr"/>
    </row>
    <row r="48">
      <c r="A48" s="13" t="inlineStr">
        <is>
          <t>04.01.03</t>
        </is>
      </c>
      <c r="B48" s="4" t="inlineStr">
        <is>
          <t>Histórico limpio partido en 3 cajones: construir (train), ajustar (validación) y RESERVADO bajo llave (OOS, se abre una sola vez por variante). Ningún agente toca el reservado</t>
        </is>
      </c>
      <c r="C48" s="4" t="inlineStr">
        <is>
          <t>Constructor datos</t>
        </is>
      </c>
      <c r="D48" s="4" t="inlineStr">
        <is>
          <t>04.01.01</t>
        </is>
      </c>
      <c r="E48" s="4" t="inlineStr">
        <is>
          <t>Pendiente</t>
        </is>
      </c>
      <c r="F48" s="4" t="inlineStr"/>
      <c r="G48" s="4" t="inlineStr"/>
    </row>
    <row r="49">
      <c r="A49" s="13" t="inlineStr">
        <is>
          <t>04.01.04</t>
        </is>
      </c>
      <c r="B49" s="4" t="inlineStr">
        <is>
          <t>NUEVA 09/08 (subtarea dentro del alcance de 04.01.01, creada por el orquestador, regla 2 de CLAUDE.md): re-derivar POR CÁLCULO el tamaño mínimo operable de XAUUSD en 4h y el requisito real de lote que 04.01.01 debe exigir al bróker</t>
        </is>
      </c>
      <c r="C49" s="4" t="inlineStr">
        <is>
          <t>Constructor de datos</t>
        </is>
      </c>
      <c r="D49" s="4" t="inlineStr">
        <is>
          <t>02.02.01, 02.03.03</t>
        </is>
      </c>
      <c r="E49" s="4" t="inlineStr">
        <is>
          <t>En curso</t>
        </is>
      </c>
      <c r="F49" s="4" t="inlineStr">
        <is>
          <t>FICHA ESCRITA TARDE Y POR ESO ANOTADA (regla 5 de CLAUDE.md incumplida): el orquestador dictó esta subtarea en el reparto del 09/08 con código, motivo y criterio de hecho, pero ordenó ejecutarla sin mandar que se escribiera antes en este WBS; el trabajo se hizo el mismo día y la fila se añade después. Lo detectó validador al revisar la entrega, con grep -rn "04.01.04" 00-direccion/ devolviendo cero. Es el defecto de L-013 de LECCIONES.md, ya anotado en las celdas de 01.02.03 y 01.02.04, y el origen es el reparto, no el ejecutor. MOTIVO: la ficha de 04.01.01 declara eliminatorio su criterio 1 justificándolo con «el lote entero son unos 1.962 € contra un techo de cuenta de 2.000 €» y de ahí […] texto completo en 00-direccion/WBS.md</t>
        </is>
      </c>
      <c r="G49" s="4" t="inlineStr"/>
    </row>
    <row r="50">
      <c r="A50" s="38" t="inlineStr">
        <is>
          <t>04.02</t>
        </is>
      </c>
      <c r="B50" s="39" t="inlineStr">
        <is>
          <t>Investigación de hipótesis</t>
        </is>
      </c>
      <c r="C50" s="39" t="n"/>
      <c r="D50" s="39" t="n"/>
      <c r="E50" s="39" t="n"/>
      <c r="F50" s="39" t="n"/>
      <c r="G50" s="39" t="n"/>
    </row>
    <row r="51">
      <c r="A51" s="13" t="inlineStr">
        <is>
          <t>04.02.01</t>
        </is>
      </c>
      <c r="B51" s="4" t="inlineStr">
        <is>
          <t>Barrido de fuentes: papers, libros, foros, GitHub, X. Regla: mínimo 2 fuentes independientes verificables por idea; vendedores de cursos/señales no son fuente</t>
        </is>
      </c>
      <c r="C51" s="4" t="inlineStr">
        <is>
          <t>Investigador</t>
        </is>
      </c>
      <c r="D51" s="4" t="inlineStr">
        <is>
          <t>03.01.02</t>
        </is>
      </c>
      <c r="E51" s="4" t="inlineStr">
        <is>
          <t>Pendiente</t>
        </is>
      </c>
      <c r="F51" s="4" t="inlineStr"/>
      <c r="G51" s="4" t="inlineStr"/>
    </row>
    <row r="52">
      <c r="A52" s="13" t="inlineStr">
        <is>
          <t>04.02.02</t>
        </is>
      </c>
      <c r="B52" s="4" t="inlineStr">
        <is>
          <t>Ficha por hipótesis: por qué existiría la ventaja, reglas de entrada/salida, mercado y vela. Sin lógica de por qué gana, no entra (nada de probar por probar)</t>
        </is>
      </c>
      <c r="C52" s="4" t="inlineStr">
        <is>
          <t>Investigador</t>
        </is>
      </c>
      <c r="D52" s="4" t="inlineStr">
        <is>
          <t>04.02.01</t>
        </is>
      </c>
      <c r="E52" s="4" t="inlineStr">
        <is>
          <t>Pendiente</t>
        </is>
      </c>
      <c r="F52" s="4" t="inlineStr"/>
      <c r="G52" s="4" t="inlineStr"/>
    </row>
    <row r="53">
      <c r="A53" s="13" t="inlineStr">
        <is>
          <t>04.02.03</t>
        </is>
      </c>
      <c r="B53" s="4" t="inlineStr">
        <is>
          <t>Filtro de sentido: el Validador puntúa y se eligen las 3-5 mejores</t>
        </is>
      </c>
      <c r="C53" s="4" t="inlineStr">
        <is>
          <t>Validador</t>
        </is>
      </c>
      <c r="D53" s="4" t="inlineStr">
        <is>
          <t>04.02.02</t>
        </is>
      </c>
      <c r="E53" s="4" t="inlineStr">
        <is>
          <t>Pendiente</t>
        </is>
      </c>
      <c r="F53" s="4" t="inlineStr"/>
      <c r="G53" s="4" t="inlineStr"/>
    </row>
    <row r="54">
      <c r="A54" s="13" t="inlineStr">
        <is>
          <t>04.02.04</t>
        </is>
      </c>
      <c r="B54" s="4" t="inlineStr">
        <is>
          <t>Pre-registro de variantes: cada hipótesis deja escritas sus variantes ANTES de probar (máx. 5-7 por hipótesis). Lo no registrado no se prueba</t>
        </is>
      </c>
      <c r="C54" s="4" t="inlineStr">
        <is>
          <t>Validador</t>
        </is>
      </c>
      <c r="D54" s="4" t="inlineStr">
        <is>
          <t>04.02.03</t>
        </is>
      </c>
      <c r="E54" s="4" t="inlineStr">
        <is>
          <t>Pendiente</t>
        </is>
      </c>
      <c r="F54" s="4" t="inlineStr"/>
      <c r="G54" s="4" t="inlineStr"/>
    </row>
    <row r="55">
      <c r="A55" s="38" t="inlineStr">
        <is>
          <t>04.03</t>
        </is>
      </c>
      <c r="B55" s="39" t="inlineStr">
        <is>
          <t>Laboratorio de pruebas (por hipótesis y variante)</t>
        </is>
      </c>
      <c r="C55" s="39" t="n"/>
      <c r="D55" s="39" t="n"/>
      <c r="E55" s="39" t="n"/>
      <c r="F55" s="39" t="n"/>
      <c r="G55" s="39" t="n"/>
    </row>
    <row r="56">
      <c r="A56" s="13" t="inlineStr">
        <is>
          <t>04.03.01</t>
        </is>
      </c>
      <c r="B56" s="4" t="inlineStr">
        <is>
          <t>Backtest con costes reales sobre el cajón de construir</t>
        </is>
      </c>
      <c r="C56" s="4" t="inlineStr">
        <is>
          <t>Constructores</t>
        </is>
      </c>
      <c r="D56" s="4" t="inlineStr">
        <is>
          <t>04.01.03, 04.02.04, 04.03.07</t>
        </is>
      </c>
      <c r="E56" s="4" t="inlineStr">
        <is>
          <t>Pendiente</t>
        </is>
      </c>
      <c r="F56" s="4" t="inlineStr"/>
      <c r="G56" s="4" t="inlineStr"/>
    </row>
    <row r="57">
      <c r="A57" s="13" t="inlineStr">
        <is>
          <t>04.03.02</t>
        </is>
      </c>
      <c r="B57" s="4" t="inlineStr">
        <is>
          <t>Ajuste SOLO con el cajón de validación; lo que no aguanta, muere aquí</t>
        </is>
      </c>
      <c r="C57" s="4" t="inlineStr">
        <is>
          <t>Constructores</t>
        </is>
      </c>
      <c r="D57" s="4" t="inlineStr">
        <is>
          <t>04.03.01</t>
        </is>
      </c>
      <c r="E57" s="4" t="inlineStr">
        <is>
          <t>Pendiente</t>
        </is>
      </c>
      <c r="F57" s="4" t="inlineStr"/>
      <c r="G57" s="4" t="inlineStr"/>
    </row>
    <row r="58">
      <c r="A58" s="13" t="inlineStr">
        <is>
          <t>04.03.03</t>
        </is>
      </c>
      <c r="B58" s="4" t="inlineStr">
        <is>
          <t>Prueba de fuego: UNA sola pasada por variante sobre el cajón reservado (OOS). Repetir sería hacerse trampa</t>
        </is>
      </c>
      <c r="C58" s="4" t="inlineStr">
        <is>
          <t>Validador</t>
        </is>
      </c>
      <c r="D58" s="4" t="inlineStr">
        <is>
          <t>04.03.02</t>
        </is>
      </c>
      <c r="E58" s="4" t="inlineStr">
        <is>
          <t>Pendiente</t>
        </is>
      </c>
      <c r="F58" s="4" t="inlineStr"/>
      <c r="G58" s="4" t="inlineStr"/>
    </row>
    <row r="59">
      <c r="A59" s="13" t="inlineStr">
        <is>
          <t>04.03.04</t>
        </is>
      </c>
      <c r="B59" s="4" t="inlineStr">
        <is>
          <t>Robustez: Monte Carlo (barajar el orden de operaciones y meter pequeños cambios miles de veces: ¿aguanta o era suerte?) + walk-forward (repetir el ajuste avanzando en el tiempo)</t>
        </is>
      </c>
      <c r="C59" s="4" t="inlineStr">
        <is>
          <t>Validador</t>
        </is>
      </c>
      <c r="D59" s="4" t="inlineStr">
        <is>
          <t>04.03.03</t>
        </is>
      </c>
      <c r="E59" s="4" t="inlineStr">
        <is>
          <t>Pendiente</t>
        </is>
      </c>
      <c r="F59" s="4" t="inlineStr"/>
      <c r="G59" s="4" t="inlineStr"/>
    </row>
    <row r="60">
      <c r="A60" s="13" t="inlineStr">
        <is>
          <t>04.03.05</t>
        </is>
      </c>
      <c r="B60" s="4" t="inlineStr">
        <is>
          <t>Veredicto pasa/no pasa por variante, con los criterios de G2. Quien construyó no vota</t>
        </is>
      </c>
      <c r="C60" s="4" t="inlineStr">
        <is>
          <t>Validador</t>
        </is>
      </c>
      <c r="D60" s="4" t="inlineStr">
        <is>
          <t>04.03.04</t>
        </is>
      </c>
      <c r="E60" s="4" t="inlineStr">
        <is>
          <t>Pendiente</t>
        </is>
      </c>
      <c r="F60" s="4" t="inlineStr"/>
      <c r="G60" s="4" t="inlineStr"/>
    </row>
    <row r="61">
      <c r="A61" s="13" t="inlineStr">
        <is>
          <t>04.03.06</t>
        </is>
      </c>
      <c r="B61" s="4" t="inlineStr">
        <is>
          <t>NUEVA 03/08 (decisión del CEO, opción B): especificación del motor de backtest propio, escrita para una construcción desde cero y no para un trasplante</t>
        </is>
      </c>
      <c r="C61" s="4" t="inlineStr">
        <is>
          <t>Arquitecto</t>
        </is>
      </c>
      <c r="D61" s="4" t="inlineStr">
        <is>
          <t>02.03.03</t>
        </is>
      </c>
      <c r="E61" s="4" t="inlineStr">
        <is>
          <t>Hecha</t>
        </is>
      </c>
      <c r="F61" s="4" t="inlineStr">
        <is>
          <t>04/08 — 03-motor/ESPECIFICACION_MOTOR_BACKTEST.md. 16 requisitos, cada uno con su prueba de aceptación ejecutable; 8 casos calculados a mano; 8 exclusiones motivadas y 7 huecos declarados. RECORRIDO: escrita por arquitecto a ciegas —declara no haber abierto 03-motor/backtester/, ni el commit 0c35959, ni /home/server/projects/gold-bot-2, y la prohibición se comprobó pidiéndole la lista de ficheros leídos—; RECHAZADA en ronda 1 por constructor-datos porque R-06(c) era una revisión a ojo y no una prueba ejecutable, más una atribución de fuente desajustada en R-13(b); el orquestador añadió un tercer defecto que la revisión no cazó: tres citas por número de línea en la sección 10, ya caducadas […] texto completo en 00-direccion/WBS.md</t>
        </is>
      </c>
      <c r="G61" s="4" t="inlineStr">
        <is>
          <t>FICHA (03/08, dictada por el orquestador): Por qué se rehace y no se rescata: el criterio de aceptación anterior vivía en la sección «Trasplante desde gb2 — criterios de aceptación», que la cirugía de D-21 borró y hoy solo existe en el historial de git. Nació describiendo qué se traía y qué se descartaba de otro proyecto, y se escribió el 30/07, antes de D-19 y antes de las mediciones de la Fase 02, así que no dice nada del oro, ni de la vela de 4h, ni del lote mínimo. Insumos obligatorios: los […] texto completo en 00-direccion/WBS.md</t>
        </is>
      </c>
    </row>
    <row r="62">
      <c r="A62" s="13" t="inlineStr">
        <is>
          <t>04.03.07</t>
        </is>
      </c>
      <c r="B62" s="4" t="inlineStr">
        <is>
          <t>NUEVA 03/08 (decisión del CEO, opción B): construir el motor de backtest desde cero contra la especificación de 04.03.06, tras retirar el anterior</t>
        </is>
      </c>
      <c r="C62" s="4" t="inlineStr">
        <is>
          <t>Constructor de motor</t>
        </is>
      </c>
      <c r="D62" s="4" t="inlineStr">
        <is>
          <t>04.03.06, 07.01.03</t>
        </is>
      </c>
      <c r="E62" s="4" t="inlineStr">
        <is>
          <t>Hecha</t>
        </is>
      </c>
      <c r="F62" s="4" t="inlineStr">
        <is>
          <t>04/08 — 03-motor/backtester/. Motor de backtest construido desde cero contra la especificación de 04.03.06. PROCEDENCIA, que era la pregunta que originó esta tarea: INDEPENDIENTE de las dos fuentes. Medido con el procedimiento pre-registrado del lote (d) de 07.01.03, bajo la segunda lectura de gb2 que autorizó el CEO en D-25: 0% de intersección de símbolos contra gb2 y contra el commit retirado 0c35959, con coincidencias de línea de 5,2-12,9% que son boilerplate (import pandas as pd, @dataclass, else:) y ninguna constante de calibración heredada. Contraste: 0c35959 disparaba 66,7% y 100% en ese mismo criterio. Reproducido de forma independiente por el orquestador. ADAPTACIÓN DEL […] texto completo en 00-direccion/WBS.md</t>
        </is>
      </c>
      <c r="G62" s="4" t="inlineStr">
        <is>
          <t>FICHA (03/08, dictada por el orquestador): PASO 0, que se ejecuta antes que nada: retirar del árbol de trabajo el motor anterior con git revert, sin reescribir historia, para que quien construya no lo tenga delante. El código sigue existiendo en el commit 0c35959 para siempre, y con él sus 44 funciones de prueba —13 en test_costs.py, 20 en test_execution.py y 11 en test_sizing.py, contadas sobre el commit— que la regla 20 de CLAUDE.md obliga a conservar aunque no se usen. Verificado antes de […] texto completo en 00-direccion/WBS.md</t>
        </is>
      </c>
    </row>
    <row r="63">
      <c r="A63" s="38" t="inlineStr">
        <is>
          <t>04.04</t>
        </is>
      </c>
      <c r="B63" s="39" t="inlineStr">
        <is>
          <t>Decisión y bucle</t>
        </is>
      </c>
      <c r="C63" s="39" t="n"/>
      <c r="D63" s="39" t="n"/>
      <c r="E63" s="39" t="n"/>
      <c r="F63" s="39" t="n"/>
      <c r="G63" s="39" t="n"/>
    </row>
    <row r="64">
      <c r="A64" s="13" t="inlineStr">
        <is>
          <t>04.04.01</t>
        </is>
      </c>
      <c r="B64" s="4" t="inlineStr">
        <is>
          <t>Informe de la vuelta: qué pasó, qué murió y por qué. Registro de TODAS las pruebas, también fallidas</t>
        </is>
      </c>
      <c r="C64" s="4" t="inlineStr">
        <is>
          <t>Secretario</t>
        </is>
      </c>
      <c r="D64" s="4" t="inlineStr">
        <is>
          <t>04.03.05</t>
        </is>
      </c>
      <c r="E64" s="4" t="inlineStr">
        <is>
          <t>Pendiente</t>
        </is>
      </c>
      <c r="F64" s="4" t="inlineStr"/>
      <c r="G64" s="4" t="inlineStr"/>
    </row>
    <row r="65">
      <c r="A65" s="13" t="inlineStr">
        <is>
          <t>04.04.02</t>
        </is>
      </c>
      <c r="B65" s="4" t="inlineStr">
        <is>
          <t>Si ninguna pasa: volver a 04.02 con lecciones (vuelta 2, 3…). Tras la 3ª vuelta sin éxito: revisión completa del planteamiento con el CEO</t>
        </is>
      </c>
      <c r="C65" s="4" t="inlineStr">
        <is>
          <t>Orquestador</t>
        </is>
      </c>
      <c r="D65" s="4" t="inlineStr">
        <is>
          <t>04.04.01</t>
        </is>
      </c>
      <c r="E65" s="4" t="inlineStr">
        <is>
          <t>Pendiente</t>
        </is>
      </c>
      <c r="F65" s="4" t="inlineStr"/>
      <c r="G65" s="4" t="inlineStr"/>
    </row>
    <row r="66">
      <c r="A66" s="13" t="inlineStr">
        <is>
          <t>04.04.03</t>
        </is>
      </c>
      <c r="B66" s="4" t="inlineStr">
        <is>
          <t>PUERTA G2: el CEO decide qué pasa a demo</t>
        </is>
      </c>
      <c r="C66" s="28" t="inlineStr">
        <is>
          <t>CEO</t>
        </is>
      </c>
      <c r="D66" s="4" t="inlineStr">
        <is>
          <t>04.04.01</t>
        </is>
      </c>
      <c r="E66" s="4" t="inlineStr">
        <is>
          <t>Pendiente</t>
        </is>
      </c>
      <c r="F66" s="4" t="inlineStr"/>
      <c r="G66" s="4" t="inlineStr"/>
    </row>
    <row r="67" ht="20" customHeight="1">
      <c r="A67" s="36" t="inlineStr">
        <is>
          <t>05</t>
        </is>
      </c>
      <c r="B67" s="37" t="inlineStr">
        <is>
          <t>DEMO (PUERTA G3) — SE DETALLA AL CERRAR G2</t>
        </is>
      </c>
      <c r="C67" s="37" t="n"/>
      <c r="D67" s="37" t="n"/>
      <c r="E67" s="37" t="n"/>
      <c r="F67" s="37" t="n"/>
      <c r="G67" s="37" t="n"/>
    </row>
    <row r="68">
      <c r="A68" s="13" t="inlineStr">
        <is>
          <t>05.01.01</t>
        </is>
      </c>
      <c r="B68" s="4" t="inlineStr">
        <is>
          <t>Bot en demo, solo y con guardias automáticos</t>
        </is>
      </c>
      <c r="C68" s="4" t="inlineStr">
        <is>
          <t>Constructores</t>
        </is>
      </c>
      <c r="D68" s="4" t="inlineStr">
        <is>
          <t>04.04.03</t>
        </is>
      </c>
      <c r="E68" s="4" t="inlineStr">
        <is>
          <t>Pendiente</t>
        </is>
      </c>
      <c r="F68" s="4" t="inlineStr">
        <is>
          <t>REQUISITO AÑADIDO POR D-14 (01/08): el guardia de parada dura (-30% del capital inicial) lo aplica el BOT de forma CONTINUA, no una revision periodica; comprobado solo una vez al mes, un -30% puede ser un -45% cuando alguien mire. Se verifica por inyeccion antes de declararlo activo (regla 25 de CLAUDE.md).</t>
        </is>
      </c>
      <c r="G68" s="4" t="inlineStr"/>
    </row>
    <row r="69">
      <c r="A69" s="13" t="inlineStr">
        <is>
          <t>05.01.02</t>
        </is>
      </c>
      <c r="B69" s="4" t="inlineStr">
        <is>
          <t>Seguimiento semanal real vs. prometido (8-12 semanas)</t>
        </is>
      </c>
      <c r="C69" s="4" t="inlineStr">
        <is>
          <t>Secretario</t>
        </is>
      </c>
      <c r="D69" s="4" t="inlineStr">
        <is>
          <t>05.01.01</t>
        </is>
      </c>
      <c r="E69" s="4" t="inlineStr">
        <is>
          <t>Pendiente</t>
        </is>
      </c>
      <c r="F69" s="4" t="inlineStr"/>
      <c r="G69" s="4" t="inlineStr"/>
    </row>
    <row r="70">
      <c r="A70" s="13" t="inlineStr">
        <is>
          <t>05.01.03</t>
        </is>
      </c>
      <c r="B70" s="4" t="inlineStr">
        <is>
          <t>PUERTA G3: CEO decide dinero, cuánto y pérdida máxima</t>
        </is>
      </c>
      <c r="C70" s="28" t="inlineStr">
        <is>
          <t>CEO</t>
        </is>
      </c>
      <c r="D70" s="4" t="inlineStr">
        <is>
          <t>05.01.02</t>
        </is>
      </c>
      <c r="E70" s="4" t="inlineStr">
        <is>
          <t>Pendiente</t>
        </is>
      </c>
      <c r="F70" s="4" t="inlineStr"/>
      <c r="G70" s="4" t="inlineStr"/>
    </row>
    <row r="71" ht="20" customHeight="1">
      <c r="A71" s="36" t="inlineStr">
        <is>
          <t>06</t>
        </is>
      </c>
      <c r="B71" s="37" t="inlineStr">
        <is>
          <t>REAL (PUERTA G4) — SE DETALLA AL CERRAR G3</t>
        </is>
      </c>
      <c r="C71" s="37" t="n"/>
      <c r="D71" s="37" t="n"/>
      <c r="E71" s="37" t="n"/>
      <c r="F71" s="37" t="n"/>
      <c r="G71" s="37" t="n"/>
    </row>
    <row r="72">
      <c r="A72" s="13" t="inlineStr">
        <is>
          <t>06.01.01</t>
        </is>
      </c>
      <c r="B72" s="4" t="inlineStr">
        <is>
          <t>Dinero pequeño respetando los límites de 01.01.03</t>
        </is>
      </c>
      <c r="C72" s="4" t="inlineStr">
        <is>
          <t>Constructores</t>
        </is>
      </c>
      <c r="D72" s="4" t="inlineStr">
        <is>
          <t>05.01.03</t>
        </is>
      </c>
      <c r="E72" s="4" t="inlineStr">
        <is>
          <t>Pendiente</t>
        </is>
      </c>
      <c r="F72" s="4" t="inlineStr">
        <is>
          <t>limites ya escritos y firmados (D-14, 01/08): capital 1.000-2.000 €, AVISO a -25% del capital inicial que no para nada, PARADA DURA AUTOMATICA a -30% aplicada por el bot de forma continua y sin exencion activable desde dentro (regla 26 de CLAUDE.md).</t>
        </is>
      </c>
      <c r="G72" s="4" t="inlineStr"/>
    </row>
    <row r="73">
      <c r="A73" s="13" t="inlineStr">
        <is>
          <t>06.01.02</t>
        </is>
      </c>
      <c r="B73" s="4" t="inlineStr">
        <is>
          <t>PUERTA G4 mensual: seguir, ampliar o parar. Si pierde más de lo escrito, se para sin discusión</t>
        </is>
      </c>
      <c r="C73" s="28" t="inlineStr">
        <is>
          <t>CEO</t>
        </is>
      </c>
      <c r="D73" s="4" t="inlineStr">
        <is>
          <t>06.01.01</t>
        </is>
      </c>
      <c r="E73" s="4" t="inlineStr">
        <is>
          <t>Pendiente</t>
        </is>
      </c>
      <c r="F73" s="4" t="inlineStr"/>
      <c r="G73" s="4" t="inlineStr"/>
    </row>
    <row r="74" ht="20" customHeight="1">
      <c r="A74" s="36" t="inlineStr">
        <is>
          <t>07</t>
        </is>
      </c>
      <c r="B74" s="37" t="inlineStr">
        <is>
          <t>MOTOR Y ORDEN (PARALELA; MÁX. 20% DEL ESFUERZO SEMANAL)</t>
        </is>
      </c>
      <c r="C74" s="37" t="n"/>
      <c r="D74" s="37" t="n"/>
      <c r="E74" s="37" t="n"/>
      <c r="F74" s="37" t="n"/>
      <c r="G74" s="37" t="n"/>
    </row>
    <row r="75">
      <c r="A75" s="13" t="inlineStr">
        <is>
          <t>07.01.01</t>
        </is>
      </c>
      <c r="B75" s="4" t="inlineStr">
        <is>
          <t>Carpetas y documentos en orden; una fuente de verdad por tema; lo sustituido se borra</t>
        </is>
      </c>
      <c r="C75" s="4" t="inlineStr">
        <is>
          <t>Constructores</t>
        </is>
      </c>
      <c r="D75" s="4" t="inlineStr">
        <is>
          <t>03.01.01</t>
        </is>
      </c>
      <c r="E75" s="4" t="inlineStr">
        <is>
          <t>Pendiente</t>
        </is>
      </c>
      <c r="F75" s="4" t="inlineStr"/>
      <c r="G75" s="4" t="inlineStr">
        <is>
          <t>FICHA (02/08): ALCANCE — cuatro arreglos de documento, NINGUNO toca código: (a) Las celdas ESTADO de 01.02.04 y 03.01.12 declaran en negrita un estado del vocabulario pendiente / en_curso / hecha / bloqueada, como exige la sección «Estados y cadencia de este WBS». Valores ya decididos por el orquestador, no se deducen: 01.02.04 pasa a en_curso (entregado INFORME_MCP_2.md, RECHAZADO por critico-codigo, sin reparar); 03.01.12 pasa a pendiente (nadie la ha trabajado). En 01.02.04 la marca actual […] texto completo en 00-direccion/WBS.md</t>
        </is>
      </c>
    </row>
    <row r="76">
      <c r="A76" s="13" t="inlineStr">
        <is>
          <t>07.01.03</t>
        </is>
      </c>
      <c r="B76" s="4" t="inlineStr">
        <is>
          <t>NUEVA 03/08 (incidente de proceso): auditar todo lo escrito el 03/08/2026 entre las 21:44 y las 21:58 sin flujo de cuatro capas, y el residuo sin commitear del tramo anterior</t>
        </is>
      </c>
      <c r="C76" s="4" t="inlineStr">
        <is>
          <t>Orquestador</t>
        </is>
      </c>
      <c r="D76" s="4" t="inlineStr">
        <is>
          <t>—</t>
        </is>
      </c>
      <c r="E76" s="4" t="inlineStr">
        <is>
          <t>En curso</t>
        </is>
      </c>
      <c r="F76" s="4" t="inlineStr">
        <is>
          <t>2ª AMPLIACIÓN 03/08, decisión del CEO — opción B: el motor de backtest se tira y se construye de cero. Consecuencias sobre esta tarea: los lotes (e1) y (e2) de aptitud QUEDAN CANCELADOS — juzgar si sirve un código que se borra es gastar la verificación en un cadáver. No se pierde su contenido: su eje A3, que no juzgaba al motor viejo sino que describía qué debe hacer cualquier motor para servir a D-19, migra íntegro a la especificación nueva (tarea 04.03.06). El lote (d) SE MANTIENE, recortado a la medición mecánica, por tres motivos: D-21 afirma en un registro de solo-añadir que no se copió una sola línea de gb2 y esa mitad sigue sin comprobar; la autorización de una sola apertura que dio […] texto completo en 00-direccion/WBS.md</t>
        </is>
      </c>
      <c r="G76" s="4" t="inlineStr">
        <is>
          <t>FICHA (03/08, dictada por el orquestador): Qué pasó, medido y no supuesto: tras un /compact a las 21:29, la sesión recibió una orden del CEO a las 21:44 y trabajó sola hasta las 21:58 sin invocar a un solo subagente. Escribió D-19, D-20 y D-21 en un registro de solo-añadir, L-024 a L-027, cirugía estructural sobre el WBS, y dos scripts del Excel del CEO. Nadie lo revisó (regla 16 de CLAUDE.md y C2 rotas). Alcance: tres lotes con veredicto propio — (d) procedencia del motor de backtest, (b y c) […] texto completo en 00-direccion/WBS.md</t>
        </is>
      </c>
    </row>
    <row r="77">
      <c r="A77" s="13" t="inlineStr">
        <is>
          <t>07.01.02</t>
        </is>
      </c>
      <c r="B77" s="4" t="inlineStr">
        <is>
          <t>Mejoras del motor: SOLO tareas aprobadas en revisión semanal (el motor no manda)</t>
        </is>
      </c>
      <c r="C77" s="4" t="inlineStr">
        <is>
          <t>Constructores</t>
        </is>
      </c>
      <c r="D77" s="4" t="inlineStr">
        <is>
          <t>03.01.02</t>
        </is>
      </c>
      <c r="E77" s="4" t="inlineStr">
        <is>
          <t>Pendiente</t>
        </is>
      </c>
      <c r="F77" s="4" t="inlineStr"/>
      <c r="G77" s="4" t="inlineStr"/>
    </row>
  </sheetData>
  <autoFilter ref="A4:G77"/>
  <mergeCells count="2">
    <mergeCell ref="A2:G2"/>
    <mergeCell ref="A1:G1"/>
  </mergeCells>
  <conditionalFormatting sqref="E5:E77">
    <cfRule type="cellIs" priority="1" operator="equal" dxfId="0">
      <formula>"Hecha"</formula>
    </cfRule>
    <cfRule type="cellIs" priority="2" operator="equal" dxfId="1">
      <formula>"En curso"</formula>
    </cfRule>
    <cfRule type="cellIs" priority="3" operator="equal" dxfId="2">
      <formula>"Bloqueada"</formula>
    </cfRule>
  </conditionalFormatting>
  <dataValidations count="1">
    <dataValidation sqref="E5:E77" showDropDown="0" showInputMessage="0" showErrorMessage="0" allowBlank="1" type="list">
      <formula1>"Pendiente,En curso,Hecha,Bloqueada"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16" customWidth="1" min="2" max="2"/>
    <col width="46" customWidth="1" min="3" max="3"/>
    <col width="40" customWidth="1" min="4" max="4"/>
    <col width="30" customWidth="1" min="5" max="5"/>
  </cols>
  <sheetData>
    <row r="1" ht="24" customHeight="1">
      <c r="A1" s="1" t="inlineStr">
        <is>
          <t>CALENDARIO — 29 julio a 1 septiembre de 2026</t>
        </is>
      </c>
      <c r="B1" s="2" t="n"/>
      <c r="C1" s="2" t="n"/>
      <c r="D1" s="2" t="n"/>
      <c r="E1" s="2" t="n"/>
    </row>
    <row r="2">
      <c r="A2" s="21" t="inlineStr">
        <is>
          <t>Objetivo del mes: NO es tener el bot en demo. Es llegar al 1 de septiembre con respuesta a "¿existe alguna estrategia que merezca pasar a demo?". Holgura de calendario: cero. G1 se cierra 04-05/08; broker se firma 10/08 (NO RETORNO). Nota crítica: 04.03.03 (prueba OOS) es una sola pasada por variante sobre el cajón reservado — no se puede repetir ni acelerar.</t>
        </is>
      </c>
      <c r="B2" s="22" t="n"/>
      <c r="C2" s="22" t="n"/>
      <c r="D2" s="22" t="n"/>
      <c r="E2" s="22" t="n"/>
    </row>
    <row r="4" ht="28" customHeight="1">
      <c r="A4" s="3" t="inlineStr">
        <is>
          <t>Período</t>
        </is>
      </c>
      <c r="B4" s="3" t="inlineStr">
        <is>
          <t>Fechas</t>
        </is>
      </c>
      <c r="C4" s="3" t="inlineStr">
        <is>
          <t>Tareas</t>
        </is>
      </c>
      <c r="D4" s="3" t="inlineStr">
        <is>
          <t>Qué se hace</t>
        </is>
      </c>
      <c r="E4" s="3" t="inlineStr">
        <is>
          <t>Fin previsto</t>
        </is>
      </c>
      <c r="F4" s="3" t="inlineStr">
        <is>
          <t>Checkpoint</t>
        </is>
      </c>
    </row>
    <row r="5">
      <c r="A5" s="4" t="inlineStr">
        <is>
          <t>S1</t>
        </is>
      </c>
      <c r="B5" s="4" t="inlineStr">
        <is>
          <t>03 – 05 ago</t>
        </is>
      </c>
      <c r="C5" s="4" t="inlineStr">
        <is>
          <t>02.03.02, 02.03.03</t>
        </is>
      </c>
      <c r="D5" s="4" t="inlineStr">
        <is>
          <t>Informe de G1 + puerta (el CEO elige mercados)</t>
        </is>
      </c>
      <c r="E5" s="4" t="inlineStr">
        <is>
          <t>Mercados y vela</t>
        </is>
      </c>
      <c r="F5" s="4" t="inlineStr">
        <is>
          <t>Mié 4-Jue 5: decisión del CEO</t>
        </is>
      </c>
    </row>
    <row r="6">
      <c r="A6" s="4" t="inlineStr">
        <is>
          <t>S2</t>
        </is>
      </c>
      <c r="B6" s="4" t="inlineStr">
        <is>
          <t>06 – 10 ago</t>
        </is>
      </c>
      <c r="C6" s="4" t="inlineStr">
        <is>
          <t>04.01.01</t>
        </is>
      </c>
      <c r="D6" s="4" t="inlineStr">
        <is>
          <t>Elegir broker, abrir demo</t>
        </is>
      </c>
      <c r="E6" s="4" t="inlineStr">
        <is>
          <t>Broker firmado</t>
        </is>
      </c>
      <c r="F6" s="4" t="inlineStr">
        <is>
          <t>Viernes 10 ago: NO RETORNO</t>
        </is>
      </c>
    </row>
    <row r="7">
      <c r="A7" s="4" t="inlineStr">
        <is>
          <t>S3</t>
        </is>
      </c>
      <c r="B7" s="4" t="inlineStr">
        <is>
          <t>11 – 14 ago</t>
        </is>
      </c>
      <c r="C7" s="4" t="inlineStr">
        <is>
          <t>04.01.02, 04.01.03</t>
        </is>
      </c>
      <c r="D7" s="4" t="inlineStr">
        <is>
          <t>Costes reales del broker + tres cajones (train, validación, OOS)</t>
        </is>
      </c>
      <c r="E7" s="4" t="inlineStr">
        <is>
          <t>Cajones listos</t>
        </is>
      </c>
      <c r="F7" s="4" t="inlineStr">
        <is>
          <t>Lun 12-Jue 14: preparando OOS</t>
        </is>
      </c>
    </row>
    <row r="8">
      <c r="A8" s="4" t="inlineStr">
        <is>
          <t>S4</t>
        </is>
      </c>
      <c r="B8" s="4" t="inlineStr">
        <is>
          <t>15 – 20 ago</t>
        </is>
      </c>
      <c r="C8" s="4" t="inlineStr">
        <is>
          <t>04.02.01 a 04.02.04</t>
        </is>
      </c>
      <c r="D8" s="4" t="inlineStr">
        <is>
          <t>Barrido de hipótesis + filtro de sentido + pre-registro de variantes</t>
        </is>
      </c>
      <c r="E8" s="4" t="inlineStr">
        <is>
          <t>3-5 hipótesis con variantes registradas</t>
        </is>
      </c>
      <c r="F8" s="4" t="inlineStr">
        <is>
          <t>Lun 19-Jue 20: qué entra al backtest</t>
        </is>
      </c>
    </row>
    <row r="9">
      <c r="A9" s="4" t="inlineStr">
        <is>
          <t>S5</t>
        </is>
      </c>
      <c r="B9" s="4" t="inlineStr">
        <is>
          <t>21 – 25 ago</t>
        </is>
      </c>
      <c r="C9" s="4" t="inlineStr">
        <is>
          <t>04.03.01, 04.03.02</t>
        </is>
      </c>
      <c r="D9" s="4" t="inlineStr">
        <is>
          <t>Backtest sobre train + ajuste sobre validación</t>
        </is>
      </c>
      <c r="E9" s="4" t="inlineStr">
        <is>
          <t>Variantes supervivientes tras ajuste</t>
        </is>
      </c>
      <c r="F9" s="4" t="inlineStr">
        <is>
          <t>Lun 24-Jue 25: cuántas avanzan</t>
        </is>
      </c>
    </row>
    <row r="10">
      <c r="A10" s="4" t="inlineStr">
        <is>
          <t>S6</t>
        </is>
      </c>
      <c r="B10" s="4" t="inlineStr">
        <is>
          <t>26 – 30 ago</t>
        </is>
      </c>
      <c r="C10" s="4" t="inlineStr">
        <is>
          <t>04.03.03 a 04.03.05</t>
        </is>
      </c>
      <c r="D10" s="4" t="inlineStr">
        <is>
          <t>OOS sobre cajón reservado (UNA sola pasada) + Monte Carlo + walk-forward + veredicto</t>
        </is>
      </c>
      <c r="E10" s="4" t="inlineStr">
        <is>
          <t>Veredicto pasa/no pasa por variante</t>
        </is>
      </c>
      <c r="F10" s="4" t="inlineStr">
        <is>
          <t>Lun 26: OOS listo (irreversible)</t>
        </is>
      </c>
    </row>
    <row r="11">
      <c r="A11" s="4" t="inlineStr">
        <is>
          <t>S7</t>
        </is>
      </c>
      <c r="B11" s="4" t="inlineStr">
        <is>
          <t>31 ago</t>
        </is>
      </c>
      <c r="C11" s="4" t="inlineStr">
        <is>
          <t>04.04.01</t>
        </is>
      </c>
      <c r="D11" s="4" t="inlineStr">
        <is>
          <t>Informe de la vuelta</t>
        </is>
      </c>
      <c r="E11" s="4" t="inlineStr">
        <is>
          <t>Informe guardado, métricas listas</t>
        </is>
      </c>
      <c r="F11" s="4" t="inlineStr">
        <is>
          <t>Lun 31: preparar GM</t>
        </is>
      </c>
    </row>
    <row r="12">
      <c r="A12" s="25" t="inlineStr">
        <is>
          <t>GM</t>
        </is>
      </c>
      <c r="B12" s="25" t="inlineStr">
        <is>
          <t>1 sept</t>
        </is>
      </c>
      <c r="C12" s="25" t="inlineStr">
        <is>
          <t>—</t>
        </is>
      </c>
      <c r="D12" s="25" t="inlineStr">
        <is>
          <t>Puerta del mes: arrancar demo / otra vuelta / replantear / PARAR</t>
        </is>
      </c>
      <c r="E12" s="25" t="inlineStr">
        <is>
          <t>Decisión del CEO</t>
        </is>
      </c>
      <c r="F12" s="4" t="inlineStr">
        <is>
          <t>Mar 1: reunión presencial</t>
        </is>
      </c>
    </row>
    <row r="13">
      <c r="A13" s="4" t="inlineStr">
        <is>
          <t>Nota</t>
        </is>
      </c>
      <c r="B13" s="4" t="inlineStr">
        <is>
          <t>07 ago</t>
        </is>
      </c>
      <c r="C13" s="4" t="inlineStr">
        <is>
          <t>03.01.05</t>
        </is>
      </c>
      <c r="D13" s="4" t="inlineStr">
        <is>
          <t>Fin bloque de motor: Fase 03 (03.01.02 a 03.01.06) lista en 24 h continuas de trabajo desatendido</t>
        </is>
      </c>
      <c r="E13" s="4" t="inlineStr">
        <is>
          <t>Motor probado</t>
        </is>
      </c>
      <c r="F13" s="4" t="inlineStr">
        <is>
          <t>—</t>
        </is>
      </c>
    </row>
    <row r="15" ht="46" customHeight="1">
      <c r="A15" s="35" t="inlineStr">
        <is>
          <t>Lo que NO cabe en el mes: la demo (8-12 semanas de mercado real, reloj no acelerable) · más de una vuelta del bucle (cabe una) · el dinero real.</t>
        </is>
      </c>
    </row>
  </sheetData>
  <mergeCells count="3">
    <mergeCell ref="A2:E2"/>
    <mergeCell ref="A15:E15"/>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118" customWidth="1" min="2" max="2"/>
  </cols>
  <sheetData>
    <row r="1" ht="24" customHeight="1">
      <c r="A1" s="1" t="inlineStr">
        <is>
          <t>PUERTAS — donde decide el CEO</t>
        </is>
      </c>
      <c r="B1" s="2" t="n"/>
    </row>
    <row r="2">
      <c r="A2" s="21" t="inlineStr">
        <is>
          <t>Criterios tal y como estan escritos en WBS.md (G1 corregida el 30/07/2026).</t>
        </is>
      </c>
      <c r="B2" s="22" t="n"/>
    </row>
    <row r="4" ht="28" customHeight="1">
      <c r="A4" s="3" t="inlineStr">
        <is>
          <t>PUERTA</t>
        </is>
      </c>
      <c r="B4" s="3" t="inlineStr">
        <is>
          <t>QUE SE DECIDE Y CON QUE CRITERIO</t>
        </is>
      </c>
    </row>
    <row r="5">
      <c r="A5" s="40" t="inlineStr">
        <is>
          <t>G0</t>
        </is>
      </c>
      <c r="B5" s="4" t="inlineStr">
        <is>
          <t>(en curso): CEO aprueba plan, criterios y límites (01.01.01–03).</t>
        </is>
      </c>
    </row>
    <row r="6">
      <c r="A6" s="40" t="inlineStr">
        <is>
          <t>G1</t>
        </is>
      </c>
      <c r="B6" s="4" t="inlineStr">
        <is>
          <t>(CRITERIOS APROBADOS 01/08/2026, D-11): siete criterios numerados</t>
        </is>
      </c>
    </row>
    <row r="7">
      <c r="A7" s="40" t="inlineStr">
        <is>
          <t>G2</t>
        </is>
      </c>
      <c r="B7" s="4" t="inlineStr">
        <is>
          <t>solo pasan variantes que ganan después de costes en OOS, aguantan Monte Carlo y estaban pre-registradas. Veredicto del Validador.</t>
        </is>
      </c>
    </row>
    <row r="8">
      <c r="A8" s="40" t="inlineStr">
        <is>
          <t>G3</t>
        </is>
      </c>
      <c r="B8" s="4" t="inlineStr">
        <is>
          <t>demo de 8-12 semanas parecida a lo prometido; CEO fija dinero y pérdida máxima.</t>
        </is>
      </c>
    </row>
    <row r="9">
      <c r="A9" s="40" t="inlineStr">
        <is>
          <t>G4</t>
        </is>
      </c>
      <c r="B9" s="4" t="inlineStr">
        <is>
          <t>(mensual): si toca la parada dura de -30% del capital inicial (D-14), se para sin discusión. El aviso de -25% NO para: se reporta y decide el CEO. La parada la aplica el bot de forma continua, no esta revisión mensual.</t>
        </is>
      </c>
    </row>
    <row r="10">
      <c r="A10" s="40" t="inlineStr">
        <is>
          <t>GM</t>
        </is>
      </c>
      <c r="B10" s="4" t="inlineStr">
        <is>
          <t>(1 de septiembre de 2026): puerta de evaluación del primer mes. Decisión: arrancar demo, dar otra vuelta al bucle, replantear o PARAR (cuarta salida añadida en D-12). Es la primera de las revisiones mensuales de avance; las siguientes, 01/10 y 01/11.</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50" customWidth="1" min="2" max="2"/>
    <col width="38" customWidth="1" min="3" max="3"/>
    <col width="16" customWidth="1" min="4" max="4"/>
    <col width="18" customWidth="1" min="5" max="5"/>
  </cols>
  <sheetData>
    <row r="1" ht="24" customHeight="1">
      <c r="A1" s="1" t="inlineStr">
        <is>
          <t>EQUIPO DE AGENTES — un modelo por puesto</t>
        </is>
      </c>
      <c r="B1" s="2" t="n"/>
      <c r="C1" s="2" t="n"/>
      <c r="D1" s="2" t="n"/>
      <c r="E1" s="2" t="n"/>
    </row>
    <row r="2">
      <c r="A2" s="21" t="inlineStr">
        <is>
          <t>Regla 29: identificador exacto del modelo, nunca un alias, y ningun agente sin modelo.</t>
        </is>
      </c>
      <c r="B2" s="22" t="n"/>
      <c r="C2" s="22" t="n"/>
      <c r="D2" s="22" t="n"/>
      <c r="E2" s="22" t="n"/>
    </row>
    <row r="4" ht="28" customHeight="1">
      <c r="A4" s="3" t="inlineStr">
        <is>
          <t>Agente</t>
        </is>
      </c>
      <c r="B4" s="3" t="inlineStr">
        <is>
          <t>Qué hace</t>
        </is>
      </c>
      <c r="C4" s="3" t="inlineStr">
        <is>
          <t>Qué NO puede hacer</t>
        </is>
      </c>
      <c r="D4" s="3" t="inlineStr">
        <is>
          <t>Modelo</t>
        </is>
      </c>
      <c r="E4" s="3" t="inlineStr">
        <is>
          <t>Respaldo</t>
        </is>
      </c>
    </row>
    <row r="5">
      <c r="A5" s="4" t="inlineStr">
        <is>
          <t>Orquestador</t>
        </is>
      </c>
      <c r="B5" s="4" t="inlineStr">
        <is>
          <t>Reparte tareas por código, cierra contra criterio de hecho, escala excepciones al CEO</t>
        </is>
      </c>
      <c r="C5" s="4" t="inlineStr">
        <is>
          <t>Construir; validar su propio reparto</t>
        </is>
      </c>
      <c r="D5" s="4" t="inlineStr">
        <is>
          <t>Opus 5</t>
        </is>
      </c>
      <c r="E5" s="4" t="inlineStr">
        <is>
          <t>Sonnet 5</t>
        </is>
      </c>
    </row>
    <row r="6">
      <c r="A6" s="4" t="inlineStr">
        <is>
          <t>Investigador</t>
        </is>
      </c>
      <c r="B6" s="4" t="inlineStr">
        <is>
          <t>Barre fuentes (papers, libros, foros, GitHub, X); fichas de hipótesis</t>
        </is>
      </c>
      <c r="C6" s="4" t="inlineStr">
        <is>
          <t>Elegir sus propias fichas; tocar código o datos</t>
        </is>
      </c>
      <c r="D6" s="4" t="inlineStr">
        <is>
          <t>Sonnet 5</t>
        </is>
      </c>
      <c r="E6" s="4" t="inlineStr">
        <is>
          <t>Haiku 4.5</t>
        </is>
      </c>
    </row>
    <row r="7">
      <c r="A7" s="4" t="inlineStr">
        <is>
          <t>Constructor de datos</t>
        </is>
      </c>
      <c r="B7" s="4" t="inlineStr">
        <is>
          <t>Históricos, limpieza, los 3 cajones, costes reales</t>
        </is>
      </c>
      <c r="C7" s="4" t="inlineStr">
        <is>
          <t>Abrir el cajón reservado (OOS)</t>
        </is>
      </c>
      <c r="D7" s="4" t="inlineStr">
        <is>
          <t>Sonnet 5</t>
        </is>
      </c>
      <c r="E7" s="4" t="inlineStr">
        <is>
          <t>Haiku 4.5</t>
        </is>
      </c>
    </row>
    <row r="8">
      <c r="A8" s="4" t="inlineStr">
        <is>
          <t>Constructor de motor/bot</t>
        </is>
      </c>
      <c r="B8" s="4" t="inlineStr">
        <is>
          <t>Backtester, bot, ejecución desatendida</t>
        </is>
      </c>
      <c r="C8" s="4" t="inlineStr">
        <is>
          <t>Validar sus backtests; tocar el cajón reservado</t>
        </is>
      </c>
      <c r="D8" s="4" t="inlineStr">
        <is>
          <t>Sonnet 5</t>
        </is>
      </c>
      <c r="E8" s="4" t="inlineStr">
        <is>
          <t>Opus 5 tras 2 atascos</t>
        </is>
      </c>
    </row>
    <row r="9">
      <c r="A9" s="4" t="inlineStr">
        <is>
          <t>Crítico de código</t>
        </is>
      </c>
      <c r="B9" s="4" t="inlineStr">
        <is>
          <t>Revisa código ajeno; analiza gb2 (01.02.01)</t>
        </is>
      </c>
      <c r="C9" s="4" t="inlineStr">
        <is>
          <t>Revisar código propio</t>
        </is>
      </c>
      <c r="D9" s="4" t="inlineStr">
        <is>
          <t>Sonnet 5 (Opus 5 en código que toca dinero real)</t>
        </is>
      </c>
      <c r="E9" s="4" t="inlineStr">
        <is>
          <t>Sonnet 5</t>
        </is>
      </c>
    </row>
    <row r="10">
      <c r="A10" s="4" t="inlineStr">
        <is>
          <t>Validador de estrategias</t>
        </is>
      </c>
      <c r="B10" s="4" t="inlineStr">
        <is>
          <t>Filtro de sentido, prueba OOS, Monte Carlo, veredictos pasa/no pasa</t>
        </is>
      </c>
      <c r="C10" s="4" t="inlineStr">
        <is>
          <t>Construir estrategias; suavizar veredictos</t>
        </is>
      </c>
      <c r="D10" s="4" t="inlineStr">
        <is>
          <t>Fable 5</t>
        </is>
      </c>
      <c r="E10" s="4" t="inlineStr">
        <is>
          <t>Opus 5</t>
        </is>
      </c>
    </row>
    <row r="11">
      <c r="A11" s="4" t="inlineStr">
        <is>
          <t>Arquitecto (puntual)</t>
        </is>
      </c>
      <c r="B11" s="4" t="inlineStr">
        <is>
          <t>Diseña el motor al arrancar Fase 03; revisa el planteamiento si el bucle falla 3 veces</t>
        </is>
      </c>
      <c r="C11" s="4" t="inlineStr">
        <is>
          <t>Trabajo del día a día</t>
        </is>
      </c>
      <c r="D11" s="4" t="inlineStr">
        <is>
          <t>Fable 5</t>
        </is>
      </c>
      <c r="E11" s="4" t="inlineStr">
        <is>
          <t>Opus 5</t>
        </is>
      </c>
    </row>
    <row r="12">
      <c r="A12" s="4" t="inlineStr">
        <is>
          <t>Secretario</t>
        </is>
      </c>
      <c r="B12" s="4" t="inlineStr">
        <is>
          <t>Informes, WBS, DECISIONES.md, LECCIONES.md, registro de pruebas</t>
        </is>
      </c>
      <c r="C12" s="4" t="inlineStr">
        <is>
          <t>Decidir</t>
        </is>
      </c>
      <c r="D12" s="4" t="inlineStr">
        <is>
          <t>Haiku 4.5</t>
        </is>
      </c>
      <c r="E12" s="4" t="inlineStr">
        <is>
          <t>Sonnet 5</t>
        </is>
      </c>
    </row>
    <row r="14" ht="46" customHeight="1">
      <c r="A14" s="35" t="inlineStr">
        <is>
          <t>Precios oficiales por millón de tokens (platform.claude.com, consultado 29/07/2026): Fable 5 (claude-fable-5) 10 $/50 $ · Opus 5 (claude-opus-5) 5 $/25 $ · Sonnet 5 (claude-sonnet-5) 3 $/15 $, con 2 $/10 $ hasta el 31/08/2026 · Haiku 4.5 (claude-haiku-4-5-20251001) 1 $/5 $. Contexto de 1M tokens salvo Haiku (200k).</t>
        </is>
      </c>
    </row>
    <row r="16" ht="46" customHeight="1">
      <c r="A16" s="35" t="inlineStr">
        <is>
          <t>Aviso Fable 5: estuvo suspendido en junio de 2026 por controles de exportación y volvió el 1 de julio; además puede rechazar peticiones por sus filtros. Respaldo obligatorio (tarea 03.01.04).</t>
        </is>
      </c>
    </row>
  </sheetData>
  <mergeCells count="4">
    <mergeCell ref="A2:E2"/>
    <mergeCell ref="A16:E16"/>
    <mergeCell ref="A1:E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6" customWidth="1" min="1" max="1"/>
    <col width="130" customWidth="1" min="2" max="2"/>
  </cols>
  <sheetData>
    <row r="1" ht="24" customHeight="1">
      <c r="A1" s="1" t="inlineStr">
        <is>
          <t>LAS 30 REGLAS — mandan sobre cualquier otra instruccion</t>
        </is>
      </c>
      <c r="B1" s="2" t="n"/>
    </row>
    <row r="2">
      <c r="A2" s="21" t="inlineStr">
        <is>
          <t>Leidas de CLAUDE.md, seccion «## Las N reglas» (D-16: unica lista normativa). No se lee la tabla espejo que tenia el WBS: quedo derogada y vacia.</t>
        </is>
      </c>
      <c r="B2" s="22" t="n"/>
    </row>
    <row r="4" ht="28" customHeight="1">
      <c r="A4" s="3" t="inlineStr">
        <is>
          <t>Nº</t>
        </is>
      </c>
      <c r="B4" s="3" t="inlineStr">
        <is>
          <t>REGLA</t>
        </is>
      </c>
    </row>
    <row r="5">
      <c r="A5" s="5" t="n">
        <v>1</v>
      </c>
      <c r="B5" s="4" t="inlineStr">
        <is>
          <t>Toda tarea se ejecuta y se anuncia por su código WBS ("Ejecutando 02.02.01"). Prohibidos los identificadores opacos.</t>
        </is>
      </c>
    </row>
    <row r="6">
      <c r="A6" s="5" t="n">
        <v>2</v>
      </c>
      <c r="B6" s="4" t="inlineStr">
        <is>
          <t>No se inventan tareas. Trabajo nuevo = primero se añade al WBS con código y motivo. Subtareas dentro del alcance las crea el orquestador; tareas nuevas de primer nivel, solo en la revisión del lunes.</t>
        </is>
      </c>
    </row>
    <row r="7">
      <c r="A7" s="5" t="n">
        <v>3</v>
      </c>
      <c r="B7" s="4" t="inlineStr">
        <is>
          <t>Los códigos son estables: una tarea empezada no se renumera jamás.</t>
        </is>
      </c>
    </row>
    <row r="8">
      <c r="A8" s="5" t="n">
        <v>4</v>
      </c>
      <c r="B8" s="4" t="inlineStr">
        <is>
          <t>Se va en orden salvo las marcadas paralelas. Una tarea no se cierra sin cumplir su criterio de "hecho".</t>
        </is>
      </c>
    </row>
    <row r="9">
      <c r="A9" s="5" t="n">
        <v>5</v>
      </c>
      <c r="B9" s="4" t="inlineStr">
        <is>
          <t>La ficha de una tarea se escribe en la cola ANTES de trabajarla, nunca al cerrarla. Sin ficha, no hay tarea.</t>
        </is>
      </c>
    </row>
    <row r="10">
      <c r="A10" s="5" t="n">
        <v>6</v>
      </c>
      <c r="B10" s="4" t="inlineStr">
        <is>
          <t>Regla de no-ambigüedad: toda tarea debe poder ejecutarse sin adivinar nada. Si tienes que suponer algo, devuelve la tarea al orquestador para que la reescriba. No supongas.</t>
        </is>
      </c>
    </row>
    <row r="11">
      <c r="A11" s="5" t="n">
        <v>30</v>
      </c>
      <c r="B11" s="4" t="inlineStr">
        <is>
          <t>Ningún criterio de hecho exige una herramienta que el ejecutor no tiene. Antes de escribirlo, se localiza por grep la línea tools: del agente que va a ejecutarlo. Si la prueba exige algo que no aparece ahí, la prueba se traslada al revisor. Un agente al que se le pide lo imposible no falla: fabrica, y el fallo se le acaba imputando a él en vez de a quien repartió. (D-34, 10/08/2026.)</t>
        </is>
      </c>
    </row>
    <row r="12">
      <c r="A12" s="5" t="n">
        <v>7</v>
      </c>
      <c r="B12" s="4" t="inlineStr">
        <is>
          <t>Cada tirada autónoma cierra al menos una tarea que avanza el PRODUCTO. La infraestructura que no desbloquee mecánicamente una tarea de producto se registra como deuda y no se ejecuta sin permiso del CEO.</t>
        </is>
      </c>
    </row>
    <row r="13">
      <c r="A13" s="5" t="n">
        <v>8</v>
      </c>
      <c r="B13" s="4" t="inlineStr">
        <is>
          <t>El trabajo de motor y orden tiene un techo del 20% del esfuerzo semanal. Si en una tirada solo hay tareas de motor disponibles, para y avisa: es señal de que la cola está mal llena.</t>
        </is>
      </c>
    </row>
    <row r="14">
      <c r="A14" s="5" t="n">
        <v>9</v>
      </c>
      <c r="B14" s="4" t="inlineStr">
        <is>
          <t>Jerarquía de la prueba. Ninguna afirmación se acepta por consenso entre agentes:</t>
        </is>
      </c>
    </row>
    <row r="15">
      <c r="A15" s="5" t="n">
        <v>10</v>
      </c>
      <c r="B15" s="4" t="inlineStr">
        <is>
          <t>Quien discrepa aporta el experimento que zanjaría la discusión, no otro argumento. Si no hay experimento posible, sube al CEO marcado como no probado.</t>
        </is>
      </c>
    </row>
    <row r="16">
      <c r="A16" s="5" t="n">
        <v>11</v>
      </c>
      <c r="B16" s="4" t="inlineStr">
        <is>
          <t>Un fallo reportado por un agente no es un fallo verificado. Antes de encolar o reparar: lee el componente y reproduce el fallo.</t>
        </is>
      </c>
    </row>
    <row r="17">
      <c r="A17" s="5" t="n">
        <v>12</v>
      </c>
      <c r="B17" s="4" t="inlineStr">
        <is>
          <t>Ninguna referencia a una decisión entra en código o informe sin un grep previo que la localice por fichero y línea. Solo se cita lo firmado y guardado, nunca en pasado ni antes de existir.</t>
        </is>
      </c>
    </row>
    <row r="18">
      <c r="A18" s="5" t="n">
        <v>13</v>
      </c>
      <c r="B18" s="4" t="inlineStr">
        <is>
          <t>Se referencia por nombre de símbolo, nunca por número de línea.</t>
        </is>
      </c>
    </row>
    <row r="19">
      <c r="A19" s="5" t="n">
        <v>14</v>
      </c>
      <c r="B19" s="4" t="inlineStr">
        <is>
          <t>Todo dato numérico se calcula sobre datos brutos, salvo que exista una fuente primaria homogénea demostrable.</t>
        </is>
      </c>
    </row>
    <row r="20">
      <c r="A20" s="5" t="n">
        <v>15</v>
      </c>
      <c r="B20" s="4" t="inlineStr">
        <is>
          <t>Quien implementa ejecuta y lee su artefacto completo antes de entregar. Las puertas confirman, no descubren.</t>
        </is>
      </c>
    </row>
    <row r="21">
      <c r="A21" s="5" t="n">
        <v>16</v>
      </c>
      <c r="B21" s="4" t="inlineStr">
        <is>
          <t>Nadie valida su propio trabajo. Quien construye no revisa; quien produce las métricas no firma el veredicto.</t>
        </is>
      </c>
    </row>
    <row r="22">
      <c r="A22" s="5" t="n">
        <v>17</v>
      </c>
      <c r="B22" s="4" t="inlineStr">
        <is>
          <t>Éxito = código fiel a la especificación, NO estrategia rentable. Un backtest con mal resultado y código correcto es un éxito registrable.</t>
        </is>
      </c>
    </row>
    <row r="23">
      <c r="A23" s="5" t="n">
        <v>18</v>
      </c>
      <c r="B23" s="4" t="inlineStr">
        <is>
          <t>Test de compuerta: si la justificación de un cambio no se sostiene sin citar métricas de resultado, se deniega.</t>
        </is>
      </c>
    </row>
    <row r="24">
      <c r="A24" s="5" t="n">
        <v>19</v>
      </c>
      <c r="B24" s="4" t="inlineStr">
        <is>
          <t>Pre-registro: ninguna variante se prueba sin estar registrada antes (máx. 5-7 por hipótesis). Lo no registrado no se prueba.</t>
        </is>
      </c>
    </row>
    <row r="25">
      <c r="A25" s="5" t="n">
        <v>20</v>
      </c>
      <c r="B25" s="4" t="inlineStr">
        <is>
          <t>Se guardan TODAS las pruebas, también las fallidas. Saber cuántas cosas se probaron es lo que permite juzgar si la ganadora es real o casualidad.</t>
        </is>
      </c>
    </row>
    <row r="26">
      <c r="A26" s="5" t="n">
        <v>21</v>
      </c>
      <c r="B26" s="4" t="inlineStr">
        <is>
          <t>Registros que solo permiten añadir: 04-resultados/registro-pruebas.md y 00-direccion/DECISIONES.md nunca se reescriben. Una corrección es una entrada nueva.</t>
        </is>
      </c>
    </row>
    <row r="27">
      <c r="A27" s="5" t="n">
        <v>22</v>
      </c>
      <c r="B27" s="4" t="inlineStr">
        <is>
          <t>El cajón 02-datos/reservado/ no se abre. Solo el CEO puede autorizar su uso, una vez por variante. Ningún agente, ningún debate, ninguna urgencia.</t>
        </is>
      </c>
    </row>
    <row r="28">
      <c r="A28" s="5" t="n">
        <v>23</v>
      </c>
      <c r="B28" s="4" t="inlineStr">
        <is>
          <t>Dos niveles. Lo REVERSIBLE (archivos, código, pruebas) tiene permisos amplios: git lo deshace. Lo IRREVERSIBLE (dinero real, órdenes al broker, borrar el cajón reservado, gastar dinero nuevo) lleva barrera desde el minuto uno.</t>
        </is>
      </c>
    </row>
    <row r="29">
      <c r="A29" s="5" t="n">
        <v>24</v>
      </c>
      <c r="B29" s="4" t="inlineStr">
        <is>
          <t>Una restricción solo se añade tras un incidente real, anotada junto al incidente, y se revisa cada mes. La que no tenga incidente vivo detrás, se quita.</t>
        </is>
      </c>
    </row>
    <row r="30">
      <c r="A30" s="5" t="n">
        <v>25</v>
      </c>
      <c r="B30" s="4" t="inlineStr">
        <is>
          <t>Toda barrera se verifica por ejecución —inyectando el caso prohibido— antes de documentarla como activa. Sin prueba: "no verificada". Un guardia presente en el código no es un guardia probado.</t>
        </is>
      </c>
    </row>
    <row r="31">
      <c r="A31" s="5" t="n">
        <v>26</v>
      </c>
      <c r="B31" s="4" t="inlineStr">
        <is>
          <t>Los guardias bloquean por defecto. La condición que activa una exención debe ser un hecho impuesto por el sistema, nunca un dato que elija el vigilado.</t>
        </is>
      </c>
    </row>
    <row r="32">
      <c r="A32" s="5" t="n">
        <v>27</v>
      </c>
      <c r="B32" s="4" t="inlineStr">
        <is>
          <t>Los datos nunca entran en git. Se descargan con script. Comprobar el día 1 que .gitignore funciona de verdad.</t>
        </is>
      </c>
    </row>
    <row r="33">
      <c r="A33" s="5" t="n">
        <v>28</v>
      </c>
      <c r="B33" s="4" t="inlineStr">
        <is>
          <t>Una sola fuente de verdad por tema. Documento que se sustituye, se borra: git guarda el historial.</t>
        </is>
      </c>
    </row>
    <row r="34">
      <c r="A34" s="5" t="n">
        <v>29</v>
      </c>
      <c r="B34" s="4" t="inlineStr">
        <is>
          <t>Cada agente lleva el identificador exacto de su modelo, nunca un alias, y ningún agente sin modelo.</t>
        </is>
      </c>
    </row>
  </sheetData>
  <mergeCells count="2">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8" customWidth="1" min="1" max="1"/>
    <col width="12" customWidth="1" min="2" max="2"/>
    <col width="55" customWidth="1" min="3" max="3"/>
    <col width="75" customWidth="1" min="4" max="4"/>
  </cols>
  <sheetData>
    <row r="1" ht="24" customHeight="1">
      <c r="A1" s="1" t="inlineStr">
        <is>
          <t>REGISTRO DE DECISIONES (30) — solo se añade, nunca se reescribe (regla 21 de CLAUDE.md)</t>
        </is>
      </c>
      <c r="B1" s="2" t="n"/>
      <c r="C1" s="2" t="n"/>
      <c r="D1" s="2" t="n"/>
    </row>
    <row r="2">
      <c r="A2" s="21" t="inlineStr">
        <is>
          <t>Leido de 00-direccion/DECISIONES.md, una fila por cada 'D-N'. No se lee la tabla espejo del WBS.</t>
        </is>
      </c>
      <c r="B2" s="22" t="n"/>
      <c r="C2" s="22" t="n"/>
      <c r="D2" s="22" t="n"/>
    </row>
    <row r="4" ht="28" customHeight="1">
      <c r="A4" s="3" t="inlineStr">
        <is>
          <t>ID</t>
        </is>
      </c>
      <c r="B4" s="3" t="inlineStr">
        <is>
          <t>FECHA</t>
        </is>
      </c>
      <c r="C4" s="3" t="inlineStr">
        <is>
          <t>DECISIÓN</t>
        </is>
      </c>
      <c r="D4" s="3" t="inlineStr">
        <is>
          <t>DETALLE</t>
        </is>
      </c>
    </row>
    <row r="5">
      <c r="A5" s="13" t="inlineStr">
        <is>
          <t>D-1</t>
        </is>
      </c>
      <c r="B5" s="4" t="inlineStr">
        <is>
          <t>2026-07-29</t>
        </is>
      </c>
      <c r="C5" s="4" t="inlineStr">
        <is>
          <t>Producto antes que motor; el motor en paralelo con techo del 20%</t>
        </is>
      </c>
      <c r="D5" s="4" t="inlineStr">
        <is>
          <t>Motivo: en el proyecto anterior el 70% del esfuerzo se fue al motor y se probo 1 de 13 hipotesis.
Decide: CEO.</t>
        </is>
      </c>
    </row>
    <row r="6">
      <c r="A6" s="13" t="inlineStr">
        <is>
          <t>D-2</t>
        </is>
      </c>
      <c r="B6" s="4" t="inlineStr">
        <is>
          <t>2026-07-29</t>
        </is>
      </c>
      <c r="C6" s="4" t="inlineStr">
        <is>
          <t>Portafolio de 3-5 mercados poco correlacionados, no un solo par</t>
        </is>
      </c>
      <c r="D6" s="4" t="inlineStr">
        <is>
          <t>Motivo: repartir riesgo y ganar muestra de operaciones.
Decide: CEO.</t>
        </is>
      </c>
    </row>
    <row r="7">
      <c r="A7" s="13" t="inlineStr">
        <is>
          <t>D-3</t>
        </is>
      </c>
      <c r="B7" s="4" t="inlineStr">
        <is>
          <t>2026-07-29</t>
        </is>
      </c>
      <c r="C7" s="4" t="inlineStr">
        <is>
          <t>Mercado y tamaño de vela se deciden en la puerta G1 con datos, no de antemano</t>
        </is>
      </c>
      <c r="D7" s="4" t="inlineStr">
        <is>
          <t>Motivo: evitar decisiones por corazonada.
Decide: CEO.</t>
        </is>
      </c>
    </row>
    <row r="8">
      <c r="A8" s="13" t="inlineStr">
        <is>
          <t>D-4</t>
        </is>
      </c>
      <c r="B8" s="4" t="inlineStr">
        <is>
          <t>2026-07-29</t>
        </is>
      </c>
      <c r="C8" s="4" t="inlineStr">
        <is>
          <t>El CEO revisa una hora los lunes y decide en las puertas; no firma tareas</t>
        </is>
      </c>
      <c r="D8" s="4" t="inlineStr">
        <is>
          <t>Motivo: direccion por excepcion.
Decide: CEO.</t>
        </is>
      </c>
    </row>
    <row r="9">
      <c r="A9" s="13" t="inlineStr">
        <is>
          <t>D-5</t>
        </is>
      </c>
      <c r="B9" s="4" t="inlineStr">
        <is>
          <t>2026-07-29</t>
        </is>
      </c>
      <c r="C9" s="4" t="inlineStr">
        <is>
          <t>Horizonte de 1 mes con evaluacion el 1 de septiembre de 2026 (puerta GM)</t>
        </is>
      </c>
      <c r="D9" s="4" t="inlineStr">
        <is>
          <t>Motivo: obligar a mirar los numeros pronto. NO es fecha de demo: el objetivo del mes es tener
veredicto sobre si existe una estrategia que merezca ir a demo.
Decide: CEO.</t>
        </is>
      </c>
    </row>
    <row r="10">
      <c r="A10" s="13" t="inlineStr">
        <is>
          <t>D-6</t>
        </is>
      </c>
      <c r="B10" s="4" t="inlineStr">
        <is>
          <t>2026-07-30</t>
        </is>
      </c>
      <c r="C10" s="4" t="inlineStr">
        <is>
          <t>Repositorio nuevo con trasplante de 5 piezas verificadas de gb2</t>
        </is>
      </c>
      <c r="D10" s="4" t="inlineStr">
        <is>
          <t>Motivo: reescribir motor y datos desde cero se comeria el mes sin acercar la respuesta. Lo que
fallaba en gb2 no era el motor, era la capa de gestion, que no se hereda.
Decide: CEO. Condicion: cada pieza pasa su criterio de aceptacion, ejecutado aqui.</t>
        </is>
      </c>
    </row>
    <row r="11">
      <c r="A11" s="13" t="inlineStr">
        <is>
          <t>D-7</t>
        </is>
      </c>
      <c r="B11" s="4" t="inlineStr">
        <is>
          <t>2026-07-30</t>
        </is>
      </c>
      <c r="C11" s="4" t="inlineStr">
        <is>
          <t>Jerarquia de la prueba: ejecucion &gt; verificacion documental &gt; contraste entre agentes</t>
        </is>
      </c>
      <c r="D11" s="4" t="inlineStr">
        <is>
          <t>Motivo: el consenso entre agentes no es prueba. En gb2 hubo tres diagnosticos seguidos del mismo
componente, dos falsos; los corrigio leer el codigo y reproducir el fallo, no debatir mas.
Decide: CEO.</t>
        </is>
      </c>
    </row>
    <row r="12">
      <c r="A12" s="13" t="inlineStr">
        <is>
          <t>D-8</t>
        </is>
      </c>
      <c r="B12" s="4" t="inlineStr">
        <is>
          <t>2026-07-30</t>
        </is>
      </c>
      <c r="C12" s="4" t="inlineStr">
        <is>
          <t>Cada agente lleva identificador exacto de modelo; ningun alias, ningun agente sin modelo</t>
        </is>
      </c>
      <c r="D12" s="4" t="inlineStr">
        <is>
          <t>Motivo: en gb2, 7 de 13 agentes usaban alias contra su propia politica, y el agente que firmaba
decisiones no tenia modelo asignado.
Decide: direccion tecnica.</t>
        </is>
      </c>
    </row>
    <row r="13">
      <c r="A13" s="13" t="inlineStr">
        <is>
          <t>D-9</t>
        </is>
      </c>
      <c r="B13" s="4" t="inlineStr">
        <is>
          <t>2026-07-30</t>
        </is>
      </c>
      <c r="C13" s="4" t="inlineStr">
        <is>
          <t>Los datos nunca entran en git</t>
        </is>
      </c>
      <c r="D13" s="4" t="inlineStr">
        <is>
          <t>Motivo: gb2 versiono 50.089 ficheros de datos (1,4 GB por clon) contra su propio .gitignore.
Decide: direccion tecnica.</t>
        </is>
      </c>
    </row>
    <row r="14">
      <c r="A14" s="13" t="inlineStr">
        <is>
          <t>D-10</t>
        </is>
      </c>
      <c r="B14" s="4" t="inlineStr">
        <is>
          <t>2026-07-31</t>
        </is>
      </c>
      <c r="C14" s="4" t="inlineStr">
        <is>
          <t>El cajon reservado se protege cifrandolo con una contraseña que solo tiene el CEO</t>
        </is>
      </c>
      <c r="D14" s="4" t="inlineStr">
        <is>
          <t>Motivo: el 31/07 verificar_barreras.py demostro POR EJECUCION que el guardia anterior era un filtro sobre el TEXTO del comando: un comando que nombraba la ruta se bloqueaba, pero un programa que la construia por dentro entraba sin obstaculo. La condicion que activaba la exencion la elegia el vigilado, que es justo lo que prohibe la regla 26. Cifrar convierte el bloqueo en un hecho matematico que no depende de la buena voluntad de ningun agente.
Decide: CEO. Condicion: la contraseña no se guarda en ningun sitio (ni fichero, ni variable de entorno, ni sesion); cada operacion la vuelve a pedir; nada se descifra a disco; el cajon se queda dentro del proyecto. Toda apertura queda anotada en 04-resultados/registro-cajon.md.
Que bloqueaba: 04.01.03 (partir el historico en tres cajones) y, detras, toda la puerta G2.</t>
        </is>
      </c>
    </row>
    <row r="15">
      <c r="A15" s="13" t="inlineStr">
        <is>
          <t>D-11</t>
        </is>
      </c>
      <c r="B15" s="4" t="inlineStr">
        <is>
          <t>2026-08-01</t>
        </is>
      </c>
      <c r="C15" s="4" t="inlineStr">
        <is>
          <t>Siete criterios de G1 aprobados (G1-C1 a G1-C7)</t>
        </is>
      </c>
      <c r="D15" s="4" t="inlineStr">
        <is>
          <t>Motivo: definicion de la barra de elegibilidad de mercados y vela. G1-C1 presupuesto de coste TOTAL al año ≤5% del capital, formula compuesta, con el coste de mantener DENTRO de ese mismo 5% (no aparte); anclado en la regla publicada de Robert Carver ("no gastar mas de un tercio del retorno esperado en costes") con retorno objetivo del 15% anual, que ES UN SUPUESTO ELEGIDO POR EL ORQUESTADOR Y APROBADO POR EL CEO, NO UN DATO MEDIDO. G1-C2 coste de ida y vuelta ÷ ATR de la vela tranquila (percentil 10) ≤10%. G1-C3 coste de mantener, sin umbral propio, suma dentro de G1-C1. G1-C4 minimo 1.000 velas/año en la vela elegida, sin minimo de operaciones (ninguna fuente primaria lo respalda). G1-C5 correlacion ≤0,7 entre los elegidos en las tres ventanas (3 meses, 1 año, 2 años), filtra la CESTA y no instrumentos sueltos. G1-C6 tamaño minimo operable con capital de 1.000-2.000 €, medido con ATR […] texto completo en 00-direccion/DECISIONES.md</t>
        </is>
      </c>
    </row>
    <row r="16">
      <c r="A16" s="13" t="inlineStr">
        <is>
          <t>D-12</t>
        </is>
      </c>
      <c r="B16" s="4" t="inlineStr">
        <is>
          <t>2026-08-01</t>
        </is>
      </c>
      <c r="C16" s="4" t="inlineStr">
        <is>
          <t>Fecha tope el 01/12/2026, con revision de avance el dia 1 de cada mes</t>
        </is>
      </c>
      <c r="D16" s="4" t="inlineStr">
        <is>
          <t>Motivo: D-5 fijaba la evaluacion GM del 01/09/2026 pero NO fijaba ninguna fecha de parada, y las
tres salidas de GM (arrancar demo, dar otra vuelta, replantear) tampoco cerraban el proyecto: no
existia fecha tope en ningun documento. Sin fecha de parada el proyecto puede derivar
indefinidamente, que es lo que ocurrio en gb2.
Forma operativa: revision de avance el dia 1 de cada mes (01/09 = GM, 01/10, 01/11), cada una
con poder explicito de PARAR el proyecto ademas de las tres salidas que GM ya tenia. La pregunta de
cada revision la fija el CEO: "¿avanza por buen camino?". El 01/12/2026 es fecha tope dura: si a esa
fecha no hay ninguna estrategia en demo, el proyecto se cierra y se escribe el informe de por que.
Decide: CEO (opcion B de la ficha, con el seguimiento mensual añadido por el CEO).
Que bloqueaba: cierre de 01.01.03 y puerta G0.
Consecuencia: GM gana una cuarta salida […] texto completo en 00-direccion/DECISIONES.md</t>
        </is>
      </c>
    </row>
    <row r="17">
      <c r="A17" s="13" t="inlineStr">
        <is>
          <t>D-13</t>
        </is>
      </c>
      <c r="B17" s="4" t="inlineStr">
        <is>
          <t>2026-08-01</t>
        </is>
      </c>
      <c r="C17" s="4" t="inlineStr">
        <is>
          <t>Tope de 5 fichas por revision del lunes; la hora es minimo garantizado, no techo</t>
        </is>
      </c>
      <c r="D17" s="4" t="inlineStr">
        <is>
          <t>Motivo: D-4 fija 1 h los lunes, pero lo que se desborda no es el tiempo sino el numero de
decisiones acumuladas: cerrar solo la tarea 01.01.03 genero 3 fichas en un dia.
Forma operativa: maximo 5 fichas de decision por revision del lunes; si hay mas, el orquestador
prioriza y las sobrantes esperan al lunes siguiente. El CEO declara que ademas sigue el proyecto dia
a dia y que pasar de la hora no le supone problema: la hora del lunes es un MINIMO GARANTIZADO, no
un techo.
Decide: CEO (opcion B de la ficha, con la aclaracion del CEO de que la hora no es techo).
Que bloqueaba: cierre de 01.01.03 y puerta G0.
Aviso registrado: el modelo de autonomia de CLAUDE.md esta construido sobre un CEO escaso. Con
un CEO disponible a diario el riesgo deja de ser su tiempo y pasa a ser que el equipo consulte en
vez de decidir. Se mantiene SIN CAMBIO la lista de lo que el equipo cierra sin consultar: que […] texto completo en 00-direccion/DECISIONES.md</t>
        </is>
      </c>
    </row>
    <row r="18">
      <c r="A18" s="13" t="inlineStr">
        <is>
          <t>D-14</t>
        </is>
      </c>
      <c r="B18" s="4" t="inlineStr">
        <is>
          <t>2026-08-01</t>
        </is>
      </c>
      <c r="C18" s="4" t="inlineStr">
        <is>
          <t>Dinero real: aviso a -25% y parada dura automatica a -30% del capital inicial</t>
        </is>
      </c>
      <c r="D18" s="4" t="inlineStr">
        <is>
          <t>Motivo: el WBS registraba una contradiccion viva sin resolver — parada dura propuesta en -25%
frente a una tolerancia del 50-60% mencionada por el CEO. El CEO fija el nivel entre el 25% y el 30%
y pide explicitamente que no se pare solo, porque una estrategia puede bajar y recuperar. Eso obliga
a DOS niveles, no a uno.
Forma operativa: (1) AVISO a -25% del capital inicial ingresado: NO para nada, se reporta al CEO
y decide el CEO. (2) PARADA DURA a -30% del capital inicial: el bot deja de abrir posiciones,
automaticamente y sin exencion activable desde dentro (regla 26). Se mide sobre el CAPITAL INICIAL
INGRESADO, no sobre el maximo alcanzado. Recuperar desde -30% exige +43%.
Decide: CEO (opcion A de la ficha refinada). SIN recomendacion del equipo:
.claude/commands/ficha.md prohibe recomendar en decisiones de tolerancia al riesgo.
Que bloqueaba: cierre de 01.01.03 y puerta G0. Da […] texto completo en 00-direccion/DECISIONES.md</t>
        </is>
      </c>
    </row>
    <row r="19">
      <c r="A19" s="13" t="inlineStr">
        <is>
          <t>D-15</t>
        </is>
      </c>
      <c r="B19" s="4" t="inlineStr">
        <is>
          <t>2026-08-01</t>
        </is>
      </c>
      <c r="C19" s="4" t="inlineStr">
        <is>
          <t>Flujo obligatorio de cuatro capas: CEO → Claude Code → orquestador → agentes</t>
        </is>
      </c>
      <c r="D19" s="4" t="inlineStr">
        <is>
          <t>Motivo: medido sobre los transcripts de sesion, de 39 invocaciones de subagente el orquestador
tenia UNA, y era la prueba de activacion del 30/07: cero trabajo real. La causa: los comandos
suplantaban a los agentes en vez de invocarlos (/autonomo empezaba con "Eres el ORQUESTADOR" y
/informe con "Eres el SECRETARIO"), asi que el rol se ejercia desde la sesion principal y el agente
no hacia falta nunca. Consecuencia real: el 01/08 un barrido del catalogo awesome-claude-code
devolvio 3 hallazgos, nadie lo cuestiono y tuvo que ser el CEO quien dijera que era imposible. Con el
flujo de capas, esa implausibilidad la caza el orquestador al juzgar, y si se le escapa la caza
Claude Code en el filtro final. El CEO no deberia ser el primer control de calidad.
Forma operativa: ver la seccion "Como se trabaja: las cuatro capas" de CLAUDE.md. En corto:
el CEO pide · Claude Code entiende y llama al […] texto completo en 00-direccion/DECISIONES.md</t>
        </is>
      </c>
    </row>
    <row r="20">
      <c r="A20" s="13" t="inlineStr">
        <is>
          <t>D-16</t>
        </is>
      </c>
      <c r="B20" s="4" t="inlineStr">
        <is>
          <t>2026-08-01</t>
        </is>
      </c>
      <c r="C20" s="4" t="inlineStr">
        <is>
          <t>CLAUDE.md es la unica lista de reglas normativa; la del WBS se sustituye por un puntero</t>
        </is>
      </c>
      <c r="D20" s="4" t="inlineStr">
        <is>
          <t>Motivo: el proyecto tenia DOS listas de "29 reglas" con contenido distinto bajo el mismo numero. Verificado por ejecucion: una en CLAUDE.md bajo "## Las 29 reglas" y otra en 00-direccion/WBS.md bajo "## Reglas (sin ambiguedad posible)". Medido con grep -inoE 'regla[s]? [0-9]+' sobre el repositorio: 24 de las 29 reglas divergen; solo coinciden en sustancia la 1, 2, 3, 4 y 6. Ejemplos: "los datos nunca entran en git" es la regla 27 en CLAUDE.md y la 24 en el WBS; la regla 25 es "toda barrera se verifica por ejecucion" en CLAUDE.md y "cada agente lleva el identificador exacto de su modelo" en el WBS; la regla 26 es "los guardias bloquean por defecto" frente a "antes de crear un agente se comprueba que el WBS contiene tareas de su tipo". Consecuencia: ninguna cita "regla N" del proyecto era verificable por la regla 12 de CLAUDE.md (ninguna referencia entra sin un grep que la localice […] texto completo en 00-direccion/DECISIONES.md</t>
        </is>
      </c>
    </row>
    <row r="21">
      <c r="A21" s="13" t="inlineStr">
        <is>
          <t>D-17</t>
        </is>
      </c>
      <c r="B21" s="4" t="inlineStr">
        <is>
          <t>2026-08-03</t>
        </is>
      </c>
      <c r="C21" s="4" t="inlineStr">
        <is>
          <t>Techo del 20% de motor (regla 8 de CLAUDE.md) suspendido hasta que 03.01.05 esté hecha o 01/09/2026</t>
        </is>
      </c>
      <c r="D21" s="4" t="inlineStr">
        <is>
          <t>Motivo: el CEO ordenó el 03/08 construir el motor antes que el producto, lo que incumple la regla 8 de CLAUDE.md (cada tirada autónoma cierra al menos una tarea que avanza el PRODUCTO). B lo pone por escrito con condición de vuelta automática en vez de saltarse la regla en silencio cada semana. La regla 8 NO se elimina —tiene incidente vivo detrás: el proyecto anterior murió al 70% de motor— se suspende con disparador que impone el sistema, no el vigilado (regla 26 de CLAUDE.md).
Forma operativa: la suspensión es por DOS condiciones, ambas deben cumplirse para levantar la suspensión: (1) la tarea 03.01.05 esté hecha, O (2) llegue la fecha 01/09/2026, lo que ocurra PRIMERO. Si llega el 01/09 y 03.01.05 sigue pendiente, la suspensión se retira automáticamente; la regla 8 vuelve a aplicarse sin necesidad de ficha nueva. Mientras esté en vigor la suspensión, el equipo puede dedicar más del […] texto completo en 00-direccion/DECISIONES.md</t>
        </is>
      </c>
    </row>
    <row r="22">
      <c r="A22" s="13" t="inlineStr">
        <is>
          <t>D-18</t>
        </is>
      </c>
      <c r="B22" s="4" t="inlineStr">
        <is>
          <t>2026-08-03</t>
        </is>
      </c>
      <c r="C22" s="4" t="inlineStr">
        <is>
          <t>El lunes deja de ser la única ventana de decisión del CEO</t>
        </is>
      </c>
      <c r="D22" s="4" t="inlineStr">
        <is>
          <t>Motivo: D-13 ya decía «1 h los lunes como MÍNIMO garantizado, no techo», pero el equipo siguió calculando el calendario solo por lunes disponibles. El CEO supervisa durante toda la semana y lo que esté listo le llega el día que esté listo. La hora de los lunes se creó para revisar, no para ser su única ventana.
Forma operativa (versión inicial del 03/08): lo que esté listo con su ficha se le presenta al CEO el día que esté listo, con un tope de 2 fichas al día entre semana; lo que exceda se acumula al lunes. ENMIENDA DEL MISMO 03/08 — ANTES DEL PRIMER COMMIT: el CEO rechaza el tope de 2. Palabras del CEO: «si estoy aquí que me lleguen lo que me tenga que llegar, si no puedo continuar ya lo dejamos para el día siguiente, pero mientras pueda se hace». Forma operativa corregida: lo que esté listo con su ficha se le presenta al CEO el día que esté listo, sin tope de número. El CEO marca el […] texto completo en 00-direccion/DECISIONES.md</t>
        </is>
      </c>
    </row>
    <row r="23">
      <c r="A23" s="13" t="inlineStr">
        <is>
          <t>D-19</t>
        </is>
      </c>
      <c r="B23" s="4" t="inlineStr">
        <is>
          <t>2026-08-03</t>
        </is>
      </c>
      <c r="C23" s="4" t="inlineStr">
        <is>
          <t>PUERTA G1: un solo mercado, ORO al contado (XAUUSD), vela de 4h</t>
        </is>
      </c>
      <c r="D23" s="4" t="inlineStr">
        <is>
          <t>Qué se decide: el bot se construye sobre XAUUSD (oro al contado) y vela de 4 horas, un único mercado. No es ninguna de las cuatro opciones A-D de la ficha presentada: es una quinta opción del propio CEO, que se registra como tal.
Motivo, con las palabras del CEO: «el oro converge en todo y todo está de acuerdo con el oro, vamos de momento con el oro; cuando encontremos y probemos que las hipótesis ganan dinero de verdad, entonces ya nos metemos con otra moneda, la que sea, ya veremos; vamos a centralizar de momento en esto y poner foco en una cosa».
Verificación de la observación del CEO (regla 9 de CLAUDE.md, nivel 1 — ejecutado): 03-motor/scripts/cestas_g1.py sobre 04-resultados/correlaciones_8x8.json enumera 4 cestas de 3 admisibles a 4h y ninguna de 4 ni de 5, y XAUUSD está en las 4. La observación es correcta. Matiz declarado: USDJPY también está en las 4; el oro se distingue por […] texto completo en 00-direccion/DECISIONES.md</t>
        </is>
      </c>
    </row>
    <row r="24">
      <c r="A24" s="13" t="inlineStr">
        <is>
          <t>D-20</t>
        </is>
      </c>
      <c r="B24" s="4" t="inlineStr">
        <is>
          <t>2026-08-03</t>
        </is>
      </c>
      <c r="C24" s="4" t="inlineStr">
        <is>
          <t>Las auditorías del ecosistema se cierran; lo que valía de ellas son las ideas, no las piezas</t>
        </is>
      </c>
      <c r="D24" s="4" t="inlineStr">
        <is>
          <t>Qué se decide: 01.02.03 (catálogo awesome-claude-code y mecanismos nativos) y 01.02.04 (servidores MCP) se cierran con hueco declarado. Su resultado no se registra como «cero», sino como cinco ideas construibles por el propio proyecto.
Motivo, con las palabras del CEO, que corrigen el planteamiento con el que se ejecutaron: «yo no quería buscar algo que ya estaba construido, yo quería ver qué ideas podíamos coger de ahí y aplicarlas para construirlas nosotros con lo que nos interesa».
Consecuencia de método, y es lo importante de esta decisión: las dos auditorías se juzgaron con un criterio de admisión de PIEZA INSTALABLE («¿se puede escribir en menos de 100 líneas propias? entonces no entra»). Con ese criterio, todo lo que el proyecto puede construir barato se descartaba por barato. El criterio para futuras auditorías del ecosistema pasa a ser: se busca la idea aplicable, y que se […] texto completo en 00-direccion/DECISIONES.md</t>
        </is>
      </c>
    </row>
    <row r="25">
      <c r="A25" s="13" t="inlineStr">
        <is>
          <t>D-21</t>
        </is>
      </c>
      <c r="B25" s="4" t="inlineStr">
        <is>
          <t>2026-08-03</t>
        </is>
      </c>
      <c r="C25" s="4" t="inlineStr">
        <is>
          <t>Se elimina el trasplante desde gb2: lo que haga falta se construye desde cero</t>
        </is>
      </c>
      <c r="D25" s="4" t="inlineStr">
        <is>
          <t>Qué se decide: se elimina del WBS la tarea 01.02.02 («Trasplante pieza a pieza desde gb2») y la sección «Trasplante desde gb2 — criterios de aceptación». Deroga parcialmente D-6, que decidió repositorio nuevo MÁS trasplante de cinco piezas verificadas; la mitad del repositorio nuevo sigue vigente, la mitad del trasplante desaparece.
Motivo, con las palabras del CEO: «algo que quiero quitar es lo de gb2, de mirarlo; lo que ya hay vamos a construirlo de 0; hay que quitar una tarea».
Qué se pierde exactamente, comprobado pieza por pieza antes de borrar (regla 11 de CLAUDE.md): nada vivo. T1 (dataset histórico) quedó sustituido por 02.02.01, que descarga de HistData y Dukascopy. T2 (motor de backtest) ya se construyó desde cero aquí — commit 0c35959; no se copió una sola línea de gb2, y de hecho no se podía: 01-investigacion/herencia-gb2/ contiene únicamente cuatro ficheros .md de informe y […] texto completo en 00-direccion/DECISIONES.md</t>
        </is>
      </c>
    </row>
    <row r="26">
      <c r="A26" s="13" t="inlineStr">
        <is>
          <t>D-22</t>
        </is>
      </c>
      <c r="B26" s="4" t="inlineStr">
        <is>
          <t>2026-08-03</t>
        </is>
      </c>
      <c r="C26" s="4" t="inlineStr">
        <is>
          <t>El motor de backtest se tira y se construye desde cero</t>
        </is>
      </c>
      <c r="D26" s="4" t="inlineStr">
        <is>
          <t>Qué se decide: se retira del árbol de trabajo el motor de backtest introducido por el commit 0c35959 y se construye uno nuevo desde su especificación, sin mirar el anterior.
Motivo, con las palabras del CEO: eligió la opción B sobre una A recomendada por el equipo, sabiendo el precio que se le declaró — se deshace el commit de ayer, cumple su orden al 100%, ahorra la auditoría, cuesta una tirada de construcción y pierde 44 pruebas que quizá estaban bien.
Qué la provoca, medido y no supuesto: ese motor entró al repositorio el 03/08 con el mensaje literal «pieza T2 del trasplante», que es justo lo que D-21 había ordenado dejar de heredar; ningún fichero fuera de su carpeta lo importaba; y su criterio de aceptación había sido borrado del WBS la noche anterior por la propia cirugía de D-21.
Forma operativa: se retira con git revert, nunca reescribiendo el historial: el código y sus 44 […] texto completo en 00-direccion/DECISIONES.md</t>
        </is>
      </c>
    </row>
    <row r="27">
      <c r="A27" s="13" t="inlineStr">
        <is>
          <t>D-23</t>
        </is>
      </c>
      <c r="B27" s="4" t="inlineStr">
        <is>
          <t>2026-08-03</t>
        </is>
      </c>
      <c r="C27" s="4" t="inlineStr">
        <is>
          <t>Corrección de hecho sobre D-21: sí se copiaron líneas de gb2</t>
        </is>
      </c>
      <c r="D27" s="4" t="inlineStr">
        <is>
          <t>Qué se corrige, y qué NO: D-21 decidió eliminar el trasplante desde gb2 y construir desde cero. Esa decisión no se toca: es del CEO y sigue en pie. Lo que se corrige es una afirmación de hecho de su motivación, porque 00-direccion/DECISIONES.md solo admite añadir (regla 21 de CLAUDE.md) y no se puede editar en su sitio.
La frase corregida: D-21 afirma «no se copió una sola línea de gb2, y de hecho no se podía». Las dos mitades son falsas, medidas por ejecución en el lote (d) de la tarea 07.01.03, con criterio pre-registrado antes de mirar y autorización expresa del CEO para abrir gb2 una vez:
1. «De hecho no se podía» — gb2 está en el disco de esta máquina, en /home/server/projects/gold-bot-2, y su ruta lleva escrita en este repositorio desde el 30/07, en 01-investigacion/herencia-gb2/INFORME_GB2.md, puesta por la tarea 01.02.01.
2. «Ni una sola línea» — hay 109 líneas no triviales […] texto completo en 00-direccion/DECISIONES.md</t>
        </is>
      </c>
    </row>
    <row r="28">
      <c r="A28" s="13" t="inlineStr">
        <is>
          <t>D-24</t>
        </is>
      </c>
      <c r="B28" s="4" t="inlineStr">
        <is>
          <t>2026-08-04</t>
        </is>
      </c>
      <c r="C28" s="4" t="inlineStr">
        <is>
          <t>Tres correcciones de hecho sobre D-20, D-21 y D-22</t>
        </is>
      </c>
      <c r="D28" s="4" t="inlineStr">
        <is>
          <t>Por qué una sola entrada y no tres: las tres salen de la misma auditoría, del mismo lote (a) de la tarea 07.01.03. Separarlas sugeriría tres hallazgos independientes. Cada apartado nombra su decisión para que siga siendo localizable por grep.
(1) Sobre D-21 — «comprobado pieza por pieza… nada vivo». D-23 corrigió ya la mitad de las líneas copiadas; esta mitad seguía sin corregir. Es falsa: al eliminarse la sección «Trasplante desde gb2 — criterios de aceptación» se perdió el criterio de aceptación de T2, que era la única especificación escrita del motor de backtest y que no recogía ninguna tarea viva. Hubo que reconstruirla desde cero en la tarea 04.03.06. La fila del registro de decisiones del WBS que repite «comprobado pieza por pieza» queda igualmente corregida por esta entrada.
(2) Sobre D-20 — «el proyecto no tiene configurado ni un solo hook». Falsa, refutada por ejecución en el […] texto completo en 00-direccion/DECISIONES.md</t>
        </is>
      </c>
    </row>
    <row r="29">
      <c r="A29" s="13" t="inlineStr">
        <is>
          <t>D-25</t>
        </is>
      </c>
      <c r="B29" s="4" t="inlineStr">
        <is>
          <t>2026-08-04</t>
        </is>
      </c>
      <c r="C29" s="4" t="inlineStr">
        <is>
          <t>Tres respuestas del CEO: segunda lectura de gb2, vela de 4h y D-2, y permiso para arreglar su Excel</t>
        </is>
      </c>
      <c r="D29" s="4" t="inlineStr">
        <is>
          <t>Las tres se contestaron con la letra A sobre fichas presentadas el 04/08/2026.
(1) Segunda lectura de gb2 — AUTORIZADA, y acotada. Se autoriza una segunda apertura de /home/server/projects/gold-bot-2 en solo lectura, con un fin único: la prueba de aceptación de la tarea 04.03.07, que compara el motor de backtest nuevo contra gb2 y contra el motor retirado en el commit 0c35959. Qué desbloquea: esa prueba de aceptación, que estaba parada porque la primera autorización, gastada en el lote (d) de 07.01.03, cubría solo la pregunta de si el motor anterior era copia. Lo que NO autoriza: ninguna tercera apertura, ningún otro fin, y ningún traslado de contenido de gb2 a este repositorio. Una apertura posterior necesita autorización nueva.
(2) Vela de 4h y figura de D-2 — dos cosas, y se registran por separado.
(2a) La vela de 4 horas queda ratificada COMO DECISIÓN DEL CEO. Y se declara lo que […] texto completo en 00-direccion/DECISIONES.md</t>
        </is>
      </c>
    </row>
    <row r="30">
      <c r="A30" s="13" t="inlineStr">
        <is>
          <t>D-26</t>
        </is>
      </c>
      <c r="B30" s="4" t="inlineStr">
        <is>
          <t>2026-08-04</t>
        </is>
      </c>
      <c r="C30" s="4" t="inlineStr">
        <is>
          <t>Corrección de hecho sobre D-20: sí existe un tope de gasto configurable</t>
        </is>
      </c>
      <c r="D30" s="4" t="inlineStr">
        <is>
          <t>D-20 afirmó literalmente (línea 177 de este fichero): «no existe ningún tope de gasto que este proyecto pueda configurar».
Devuelve claude --help en la versión 2.1.221 instalada: --max-budget-usd &lt;amount&gt; — "Maximum dollar amount to spend on API calls".
Reproducido por: orquestador y constructor-motor ejecutando claude --help sobre el binario 2.1.221.
Aviso crítico no medido todavía: el help dice "API calls", y si el proyecto corre sobre plan de suscripción, ese tope puede ser inerte. No se declara activo hasta que se pruebe por inyección con un límite deliberadamente ínfimo y se compruebe que la herramienta corta de verdad (regla 25 de CLAUDE.md).
Referencia cruzada no editada: la fila 01.02.03 del WBS expresa la misma afirmación de fondo con otra redacción (línea 76 de WBS.md): «Claude Code no ofrece ningún tope de gasto que el proyecto pueda elegir». Queda registrado que D-26 […] texto completo en 00-direccion/DECISIONES.md</t>
        </is>
      </c>
    </row>
    <row r="31">
      <c r="A31" s="13" t="inlineStr">
        <is>
          <t>D-27</t>
        </is>
      </c>
      <c r="B31" s="4" t="inlineStr">
        <is>
          <t>2026-08-04</t>
        </is>
      </c>
      <c r="C31" s="4" t="inlineStr">
        <is>
          <t>Hallazgo: esta máquina corre en bypassPermissions desde antes de hoy</t>
        </is>
      </c>
      <c r="D31" s="4" t="inlineStr">
        <is>
          <t>Verificado hoy leyendo /home/server/.claude/settings.json (fichero de usuario, FUERA del repositorio): contiene "permissions": {"defaultMode": "bypassPermissions"} y "skipDangerousModePermissionPrompt": true.
Consecuencia: toda sesión de Claude Code en esta máquina —interactiva o desatendida— se aprueba a sí misma las herramientas; no existe filtro humano de permisos en ninguna de las sesiones anteriores ni en esta.
Lo único que sigue frenando es la lista deny de .claude/settings.json del proyecto, que constructor-motor comprobó POR EJECUCIÓN que sigue mordiendo bajo bypass (una llamada con --no-verify fue denegada y quedó registrada en permission_denials).
Este fichero de usuario no lo ha tocado ningún agente hoy y NO se ha modificado: la decisión de dejarlo o revertirlo es del CEO.
Confirmación del CEO sobre ESTE TEXTO: CONFIRMADA el 04/08/2026.
---</t>
        </is>
      </c>
    </row>
    <row r="32">
      <c r="A32" s="13" t="inlineStr">
        <is>
          <t>D-28</t>
        </is>
      </c>
      <c r="B32" s="4" t="inlineStr">
        <is>
          <t>2026-08-09</t>
        </is>
      </c>
      <c r="C32" s="4" t="inlineStr">
        <is>
          <t>Confirmadas las tres correcciones de hecho (D-22, D-23, D-24)</t>
        </is>
      </c>
      <c r="D32" s="4" t="inlineStr">
        <is>
          <t>Qué se confirma. Ninguna de las tres cambia nada de lo ya hecho: solo ponen el registro de acuerdo con lo medido.
1. D-22: la decisión del CEO del 03/08 — tirar el motor de backtest anterior y construir uno nuevo desde cero.
2. D-23: el motor retirado sí copiaba 109 líneas del proyecto anterior (gb2); antes se había escrito que ninguna.
3. D-24, sobre D-21: el criterio de aceptación del motor se perdió al eliminar la sección de trasplante; hubo que reconstruirlo en la tarea 04.03.06.
4. D-24, sobre D-20: los muros mecánicos del proyecto sí existen, desde el 31/07/2026.
5. D-24, sobre D-22: la cronología de D-22 estaba invertida — el motor entró antes de que existiera la orden que supuestamente contradecía.
Decide: CEO, 09/08/2026, opción A de 00-direccion/informes/FICHA_D-28.md (confirma las tres tal como están). Palabras literales del CEO: «a la 28 y 29 respondo A a las dos».
Qué […] texto completo en 00-direccion/DECISIONES.md</t>
        </is>
      </c>
    </row>
    <row r="33">
      <c r="A33" s="13" t="inlineStr">
        <is>
          <t>D-29</t>
        </is>
      </c>
      <c r="B33" s="4" t="inlineStr">
        <is>
          <t>2026-08-09</t>
        </is>
      </c>
      <c r="C33" s="4" t="inlineStr">
        <is>
          <t>Se autorizan las CUATRO barreras de seguridad (a, b, c, d)</t>
        </is>
      </c>
      <c r="D33" s="4" t="inlineStr">
        <is>
          <t>Las cuatro nacen de una inyección ejecutada con su salida guardada, no de una sospecha, y ninguna causó daño (regla 24 de CLAUDE.md). Cada una se verifica por inyección ANTES de documentarse como activa (regla 25 de CLAUDE.md).
(a) El patrón que protege el cajón reservado tiene un agujero. Bash( 02-datos/reservado) de .claude/settings.json exige un espacio literal y no cubre la ruta pegada a una comilla: una línea de python lo esquiva. Ese intento lo paró otra capa, no determinista, con la que no se puede contar. Y desde el 04/08 esa lista deny es lo único que frena, porque D-27 de este mismo fichero dejó registrado que la máquina corre en bypassPermissions y ninguna sesión pide permiso. El contenido sigue cifrado y la clave solo la tiene el CEO. Comprobado el 05/08 leyendo el fichero de configuración, no por reporte de agente.
(b) Los datos descargados se pueden borrar sin […] texto completo en 00-direccion/DECISIONES.md</t>
        </is>
      </c>
    </row>
    <row r="34">
      <c r="A34" s="13" t="inlineStr">
        <is>
          <t>D-34</t>
        </is>
      </c>
      <c r="B34" s="4" t="inlineStr">
        <is>
          <t>2026-08-10</t>
        </is>
      </c>
      <c r="C34" s="4" t="inlineStr">
        <is>
          <t>Herramientas de los agentes: la prueba que el ejecutor no puede hacer se traslada al revisor</t>
        </is>
      </c>
      <c r="D34" s="4" t="inlineStr">
        <is>
          <t>Qué se decide. Opción B de 00-direccion/informes/FICHA_D-34.md. Palabras literales del CEO, 10/08/2026: «continua, para la 34 marca la b».
Qué significa. Ningún criterio de hecho puede exigir una comprobación que las herramientas declaradas en la línea tools: del agente que lo ejecuta no le permitan hacer. Antes de escribir un criterio de hecho se localiza esa línea por grep; si la prueba exige algo que no aparece en ella, la prueba se traslada al revisor, que sí la tiene. Queda escrito como regla 30 de CLAUDE.md.
Qué NO hace. No cambia la línea tools: de ningún agente. En particular, secretario sigue sin Bash.
Por qué ésta y no repartir herramientas. Del diagnóstico de 03.01.15 en 04-resultados/diagnostico_03.01.15_herramientas_agentes.md, con los ocho agentes barridos: los fallos medidos son de dos clases y solo una la arregla una herramienta. Un agente sin Bash declaró una cifra […] texto completo en 00-direccion/DECISIONES.md</t>
        </is>
      </c>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8" customWidth="1" min="1" max="1"/>
    <col width="50" customWidth="1" min="2" max="2"/>
    <col width="50" customWidth="1" min="3" max="3"/>
    <col width="42" customWidth="1" min="4" max="4"/>
    <col width="42" customWidth="1" min="5" max="5"/>
  </cols>
  <sheetData>
    <row r="1" ht="24" customHeight="1">
      <c r="A1" s="1" t="inlineStr">
        <is>
          <t>LECCIONES APRENDIDAS (41)</t>
        </is>
      </c>
      <c r="B1" s="2" t="n"/>
      <c r="C1" s="2" t="n"/>
      <c r="D1" s="2" t="n"/>
      <c r="E1" s="2" t="n"/>
    </row>
    <row r="2">
      <c r="A2" s="21" t="inlineStr">
        <is>
          <t>Leidas de 00-direccion/LECCIONES.md, una fila por cada 'L-NNN'. No se lee la tabla espejo del WBS.</t>
        </is>
      </c>
      <c r="B2" s="22" t="n"/>
      <c r="C2" s="22" t="n"/>
      <c r="D2" s="22" t="n"/>
      <c r="E2" s="22" t="n"/>
    </row>
    <row r="4" ht="28" customHeight="1">
      <c r="A4" s="3" t="inlineStr">
        <is>
          <t>ID</t>
        </is>
      </c>
      <c r="B4" s="3" t="inlineStr">
        <is>
          <t>SÍNTOMA</t>
        </is>
      </c>
      <c r="C4" s="3" t="inlineStr">
        <is>
          <t>CAUSA RAÍZ</t>
        </is>
      </c>
      <c r="D4" s="3" t="inlineStr">
        <is>
          <t>REGLA</t>
        </is>
      </c>
      <c r="E4" s="3" t="inlineStr">
        <is>
          <t>EVENTO</t>
        </is>
      </c>
    </row>
    <row r="5">
      <c r="A5" s="13" t="inlineStr">
        <is>
          <t>L-001</t>
        </is>
      </c>
      <c r="B5" s="4" t="inlineStr">
        <is>
          <t>Se perdio tiempo buscando un dato que habia que calcular</t>
        </is>
      </c>
      <c r="C5" s="4" t="inlineStr">
        <is>
          <t>el encargo pedia "buscar el ATR intradia publicado". No existe publicado; si existen
los precios para calcularlo.</t>
        </is>
      </c>
      <c r="D5" s="4" t="inlineStr">
        <is>
          <t>todo dato numerico se calcula sobre datos brutos salvo que exista fuente primaria
homogenea demostrable.</t>
        </is>
      </c>
      <c r="E5" s="4" t="inlineStr">
        <is>
          <t>entrega del Brief A (22 de 24 celdas quedaron "sin dato fiable"), confirmado por el
Brief B (la matriz de correlaciones tampoco existe homogenea). Dos veces el mismo fallo.</t>
        </is>
      </c>
    </row>
    <row r="6">
      <c r="A6" s="13" t="inlineStr">
        <is>
          <t>L-002</t>
        </is>
      </c>
      <c r="B6" s="4" t="inlineStr">
        <is>
          <t>Una conversion correcta explicada al pie y no aplicada en la tabla</t>
        </is>
      </c>
      <c r="C6" s="4" t="inlineStr">
        <is>
          <t>el analista escribio bien que la comision de 7 USD no son 0,7 pips en USDJPY, y
luego uso 0,9 en su tabla. Coste infravalorado un 29%.</t>
        </is>
      </c>
      <c r="D6" s="4" t="inlineStr">
        <is>
          <t>toda conversion de unidades se aplica en la tabla final, no solo se explica en una nota.</t>
        </is>
      </c>
      <c r="E6" s="4" t="inlineStr">
        <is>
          <t>revision 02.03.01 del 29/07/2026.</t>
        </is>
      </c>
    </row>
    <row r="7">
      <c r="A7" s="13" t="inlineStr">
        <is>
          <t>L-003</t>
        </is>
      </c>
      <c r="B7" s="4" t="inlineStr">
        <is>
          <t>Medir el coste de entrar y salir sin medir el de mantener</t>
        </is>
      </c>
      <c r="C7" s="4" t="inlineStr">
        <is>
          <t>el encargo solo pedia spread y comision. En CFD de bitcoin la financiacion nocturna
(-22,5% anual) supera varias veces al spread si se mantiene la posicion.</t>
        </is>
      </c>
      <c r="D7" s="4" t="inlineStr">
        <is>
          <t>el coste tiene dos componentes y se miden los dos: entrar/salir y mantener.</t>
        </is>
      </c>
      <c r="E7" s="4" t="inlineStr">
        <is>
          <t>punto ciego señalado por el analista, Brief A.</t>
        </is>
      </c>
    </row>
    <row r="8">
      <c r="A8" s="13" t="inlineStr">
        <is>
          <t>L-004</t>
        </is>
      </c>
      <c r="B8" s="4" t="inlineStr">
        <is>
          <t>Comparar valores absolutos entre activos distintos</t>
        </is>
      </c>
      <c r="C8" s="4" t="inlineStr">
        <is>
          <t>un ATR en pips y otro en dolares no son comparables.</t>
        </is>
      </c>
      <c r="D8" s="4" t="inlineStr">
        <is>
          <t>se normaliza (porcentaje del precio) antes de comparar.</t>
        </is>
      </c>
      <c r="E8" s="4" t="inlineStr">
        <is>
          <t>revision 02.03.01.</t>
        </is>
      </c>
    </row>
    <row r="9">
      <c r="A9" s="13" t="inlineStr">
        <is>
          <t>L-005</t>
        </is>
      </c>
      <c r="B9" s="4" t="inlineStr">
        <is>
          <t>Creer que el sistema "aprende"</t>
        </is>
      </c>
      <c r="C9" s="4" t="inlineStr">
        <is>
          <t>el modelo no aprende nada entre sesiones; lo que crece es un monton de ficheros de
notas que se releen. Si nadie escribe bien las notas, no mejora nada.</t>
        </is>
      </c>
      <c r="D9" s="4" t="inlineStr">
        <is>
          <t>el secretario y estos ficheros son piezas obligatorias del sistema, no adorno.</t>
        </is>
      </c>
      <c r="E9" s="4" t="inlineStr">
        <is>
          <t>analisis de un video divulgativo, 29/07/2026.</t>
        </is>
      </c>
    </row>
    <row r="10">
      <c r="A10" s="13" t="inlineStr">
        <is>
          <t>L-006</t>
        </is>
      </c>
      <c r="B10" s="4" t="inlineStr">
        <is>
          <t>Convenciones invertidas cambian el signo de una correlacion</t>
        </is>
      </c>
      <c r="C10" s="4" t="inlineStr">
        <is>
          <t>algunas fuentes usan yen y franco invertidos (JPYUSD, CHFUSD).</t>
        </is>
      </c>
      <c r="D10" s="4" t="inlineStr">
        <is>
          <t>verificar la convencion antes de comparar numeros de dos fuentes.</t>
        </is>
      </c>
      <c r="E10" s="4" t="inlineStr">
        <is>
          <t>revision del Brief B, 30/07/2026.</t>
        </is>
      </c>
    </row>
    <row r="11">
      <c r="A11" s="13" t="inlineStr">
        <is>
          <t>L-007</t>
        </is>
      </c>
      <c r="B11" s="4" t="inlineStr">
        <is>
          <t>Un nombre parecido no es el mismo instrumento</t>
        </is>
      </c>
      <c r="C11" s="4" t="inlineStr">
        <is>
          <t>se midio el oro con el futuro de COMEX creyendo medir el oro al contado
(correlacion 0,82: alta, pero no son lo mismo). Igual con bitcoin contra Tether y contra dolar.</t>
        </is>
      </c>
      <c r="D11" s="4" t="inlineStr">
        <is>
          <t>comprobar QUE se esta midiendo antes de medirlo, y escribirlo en el informe.</t>
        </is>
      </c>
      <c r="E11" s="4" t="inlineStr">
        <is>
          <t>revision del Brief B. El fallo era del propio director del proyecto.</t>
        </is>
      </c>
    </row>
    <row r="12">
      <c r="A12" s="13" t="inlineStr">
        <is>
          <t>L-008</t>
        </is>
      </c>
      <c r="B12" s="4" t="inlineStr">
        <is>
          <t>Un umbral sobre una magnitud inestable necesita varias ventanas</t>
        </is>
      </c>
      <c r="C12" s="4" t="inlineStr">
        <is>
          <t>el criterio "correlacion menor de 0,7" se escribio para una sola ventana.
EURUSD-AUDUSD sale 0,33 o 0,64 segun el periodo; BTC-oro paso de +0,30 a -0,88.</t>
        </is>
      </c>
      <c r="D12" s="4" t="inlineStr">
        <is>
          <t>los umbrales sobre magnitudes inestables se miden en tres ventanas y deben cumplirse en
las tres.</t>
        </is>
      </c>
      <c r="E12" s="4" t="inlineStr">
        <is>
          <t>revision del Brief B.</t>
        </is>
      </c>
    </row>
    <row r="13">
      <c r="A13" s="13" t="inlineStr">
        <is>
          <t>L-009</t>
        </is>
      </c>
      <c r="B13" s="4" t="inlineStr">
        <is>
          <t>Un guardia verificado por presencia da falsa seguridad</t>
        </is>
      </c>
      <c r="C13" s="4" t="inlineStr">
        <is>
          <t>en gb2 se auditaba "existe un if con sys.exit" = "esta protegido". Un guardia estaba
estructuralmente muerto y otro cableado al evento equivocado; ninguno se disparo nunca.</t>
        </is>
      </c>
      <c r="D13" s="4" t="inlineStr">
        <is>
          <t>toda barrera se verifica por ejecucion, inyectando el caso prohibido.</t>
        </is>
      </c>
      <c r="E13" s="4" t="inlineStr">
        <is>
          <t>auditoria de gb2, secciones 6.3 y 6.4.</t>
        </is>
      </c>
    </row>
    <row r="14">
      <c r="A14" s="13" t="inlineStr">
        <is>
          <t>L-010</t>
        </is>
      </c>
      <c r="B14" s="4" t="inlineStr">
        <is>
          <t>Los agentes no se activan por tener buena descripcion</t>
        </is>
      </c>
      <c r="C14" s="4" t="inlineStr">
        <is>
          <t>en gb2, tres agentes nunca se invocaron pese a tener fichas claras y permisos
suficientes. La cola nunca contuvo tareas de su tipo, y el reparto ignoraba el tipo durante dos
semanas.</t>
        </is>
      </c>
      <c r="D14" s="4" t="inlineStr">
        <is>
          <t>el reparto enruta por tipo de tarea; antes de crear un agente se comprueba que el WBS
genera tareas suyas; agente sin tareas en dos semanas se elimina o se justifica.</t>
        </is>
      </c>
      <c r="E14" s="4" t="inlineStr">
        <is>
          <t>auditoria de gb2, seccion 3.1.</t>
        </is>
      </c>
    </row>
    <row r="15">
      <c r="A15" s="13" t="inlineStr">
        <is>
          <t>L-011</t>
        </is>
      </c>
      <c r="B15" s="4" t="inlineStr">
        <is>
          <t>Tener una cola estricta no impide la deriva</t>
        </is>
      </c>
      <c r="C15" s="4" t="inlineStr">
        <is>
          <t>gb2 tenia cola unica, IDs contiguos forzados por hook y criterio de terminado
explicito. Y aun asi el 70% del esfuerzo se fue al motor. La cola controla QUE se ejecuta, no QUE se
mete en la cola.</t>
        </is>
      </c>
      <c r="D15" s="4" t="inlineStr">
        <is>
          <t>cada tirada cierra al menos una tarea de producto; la infraestructura que no desbloquee
mecanicamente una tarea de producto se registra como deuda.</t>
        </is>
      </c>
      <c r="E15" s="4" t="inlineStr">
        <is>
          <t>auditoria de gb2, seccion 5.3, y las dos congelaciones de motor.</t>
        </is>
      </c>
    </row>
    <row r="16">
      <c r="A16" s="13" t="inlineStr">
        <is>
          <t>L-012</t>
        </is>
      </c>
      <c r="B16" s="4" t="inlineStr">
        <is>
          <t>Dos agentes de acuerdo no son una prueba</t>
        </is>
      </c>
      <c r="C16" s="4" t="inlineStr">
        <is>
          <t>en gb2 hubo tres diagnosticos consecutivos del mismo componente, dos falsos. Lo que
los corrigio fue leer el codigo y reproducir el fallo.</t>
        </is>
      </c>
      <c r="D16" s="4" t="inlineStr">
        <is>
          <t>jerarquia de la prueba (regla 9 de CLAUDE.md).</t>
        </is>
      </c>
      <c r="E16" s="4" t="inlineStr">
        <is>
          <t>auditoria de gb2, error 7 de la lista de diez.</t>
        </is>
      </c>
    </row>
    <row r="17">
      <c r="A17" s="13" t="inlineStr">
        <is>
          <t>L-013</t>
        </is>
      </c>
      <c r="B17" s="4" t="inlineStr">
        <is>
          <t>Se trabajo una tarea sin ficha escrita antes</t>
        </is>
      </c>
      <c r="C17" s="4" t="inlineStr">
        <is>
          <t>la tarea 01.01.02 era una fila de una linea en el WBS sin alcance ni criterio de
hecho, y el trabajo de apoyo (calculo de arrastre e investigacion de umbrales) se autoasigno alcance
dentro de ella.</t>
        </is>
      </c>
      <c r="D17" s="4" t="inlineStr">
        <is>
          <t>la regla 5 vale tambien para las tareas asignadas al CEO; una fila del WBS sin alcance no
es una ficha, y antes de trabajarla hay que escribirla.</t>
        </is>
      </c>
      <c r="E17" s="4" t="inlineStr">
        <is>
          <t>hallazgo de critico-codigo en la revision del calculo de arrastre, 01/08/2026, confirmado
por grep sobre 00-direccion/WBS.md.</t>
        </is>
      </c>
    </row>
    <row r="18">
      <c r="A18" s="13" t="inlineStr">
        <is>
          <t>L-014</t>
        </is>
      </c>
      <c r="B18" s="4" t="inlineStr">
        <is>
          <t>Un supuesto expresado en porcentaje decidio el orden de magnitud sin declararse</t>
        </is>
      </c>
      <c r="C18" s="4" t="inlineStr">
        <is>
          <t>fijar la actividad como "porcentaje de velas operadas" hace que a 15 minutos se abran
~15 veces mas operaciones que a 4 horas solo por haber mas velas; eso produjo un multiplicador de
coste x60-x69 entre velas que al fijar el NUMERO de operaciones cae a x4,3. La conclusion "1h es
inviable" era un artefacto del supuesto, no un hallazgo.</t>
        </is>
      </c>
      <c r="D18" s="4" t="inlineStr">
        <is>
          <t>todo supuesto expresado en porcentaje se recalcula ademas en valor absoluto antes de sacar
conclusiones, y se declara cual de las dos formulaciones sostiene el titular.</t>
        </is>
      </c>
      <c r="E18" s="4" t="inlineStr">
        <is>
          <t>hallado por critico-codigo y confirmado de forma independiente por validador con
experimento ejecutado, 01/08/2026, sobre 01-investigacion/mercados/arrastre_coste.md.</t>
        </is>
      </c>
    </row>
    <row r="19">
      <c r="A19" s="13" t="inlineStr">
        <is>
          <t>L-015</t>
        </is>
      </c>
      <c r="B19" s="4" t="inlineStr">
        <is>
          <t>Dos listas de reglas con el mismo numero y contenido distinto</t>
        </is>
      </c>
      <c r="C19" s="4" t="inlineStr">
        <is>
          <t>CLAUDE.md y 00-direccion/WBS.md contienen cada uno una lista de "29 reglas", y no
coinciden. Comprobado por grep el 01/08/2026: la regla 16 es "nadie valida su propio trabajo" en
CLAUDE.md y "test de compuerta" en el WBS; la 23 es "dos niveles de barrera" frente a "un fallo
reportado no es un fallo verificado"; la 25 es "toda barrera se verifica por ejecucion" frente a
"cada agente lleva el identificador exacto de su modelo". Toda cita regla N del proyecto es por
tanto ambigua, incluidas las de […] texto completo en 00-direccion/LECCIONES.md</t>
        </is>
      </c>
      <c r="D19" s="4" t="inlineStr">
        <is>
          <t>una sola fuente de verdad por tema, y las citas de regla llevan el documento delante hasta
que exista una sola lista. Un numero de regla sin documento no es una cita verificable, y la regla 20
de CLAUDE.md exige que toda cita se localice con grep antes de entrar en un informe.</t>
        </is>
      </c>
      <c r="E19" s="4" t="inlineStr">
        <is>
          <t>hallado por critico-codigo al revisar 01-investigacion/ecosistema/INFORME_AWESOME.md
y reproducido por el orquestador con grep sobre los dos ficheros, 01/08/2026. Se abre 03.01.13.</t>
        </is>
      </c>
    </row>
    <row r="20">
      <c r="A20" s="13" t="inlineStr">
        <is>
          <t>L-016</t>
        </is>
      </c>
      <c r="B20" s="4" t="inlineStr">
        <is>
          <t>Un indicador que solo mira lo etiquetado es ciego justo donde importa</t>
        </is>
      </c>
      <c r="C20" s="4" t="inlineStr">
        <is>
          <t>se midio el reparto producto/motor contando solo los commits que llevan codigo WBS
(2 de 10 = 20%, "exactamente en el techo"). Pero .githooks/commit-msg EXIME de llevar codigo a los
mensajes que empiezan por meta:, org: o arranque:, y ahi es justo donde vive el trabajo de
motor. Clasificando los 16 commits por contenido, el motor sale 7 de 16 (43,8%), mas del doble del
techo. La aritmetica era correcta; el denominador estaba mal construido.</t>
        </is>
      </c>
      <c r="D20" s="4" t="inlineStr">
        <is>
          <t>un indicador se valida contra el universo completo, no contra el subconjunto etiquetado.
Antes de automatizar una metrica hay que preguntarse que deja fuera su filtro, porque automatizar un
punto ciego lo vuelve permanente (L-009 aplicada a un indicador en lugar de a un guardia).</t>
        </is>
      </c>
      <c r="E20" s="4" t="inlineStr">
        <is>
          <t>hallado por critico-codigo al revisar 01-investigacion/ecosistema/INFORME_AWESOME.md
y reproducido por el orquestador con git show --stat sobre los seis commits exentos, 01/08/2026.</t>
        </is>
      </c>
    </row>
    <row r="21">
      <c r="A21" s="13" t="inlineStr">
        <is>
          <t>L-017</t>
        </is>
      </c>
      <c r="B21" s="4" t="inlineStr">
        <is>
          <t>L-015 cita mal su propia regla de grep</t>
        </is>
      </c>
      <c r="C21" s="4" t="inlineStr">
        <is>
          <t>L-015 afirma "la regla 20 de CLAUDE.md exige que toda cita se localice con grep
antes de entrar en un informe". La regla 20 de CLAUDE.md es "Se guardan TODAS las pruebas,
tambien las fallidas"; la exigencia de grep previo es la regla 12 de CLAUDE.md. LECCIONES.md es
de solo-anadir (regla 21 de CLAUDE.md): no se corrige en su sitio, se anota aqui.</t>
        </is>
      </c>
      <c r="D21" s="4" t="inlineStr">
        <is>
          <t>toda cita de regla se verifica por grep contra CLAUDE.md antes de escribirse (regla 12
de CLAUDE.md), incluidas las citas dentro de las propias lecciones.</t>
        </is>
      </c>
      <c r="E21" s="4" t="inlineStr">
        <is>
          <t>hallado en la tarea 03.01.13 (pasada 1, constructor-motor), 01/08/2026, verificado por
grep sobre CLAUDE.md: regla 20 = "se guardan las pruebas"; regla 12 = "grep previo a decision".</t>
        </is>
      </c>
    </row>
    <row r="22">
      <c r="A22" s="13" t="inlineStr">
        <is>
          <t>L-018</t>
        </is>
      </c>
      <c r="B22" s="4" t="inlineStr">
        <is>
          <t>Un recuento sin -i da cifras bajas, aunque lo repitan dos agentes</t>
        </is>
      </c>
      <c r="C22" s="4" t="inlineStr">
        <is>
          <t>en la pasada 1 de 03.01.13, quien ejecuto el recuento y quien lo reviso grepearon
"regla" en minuscula, sin -i. Los dos dieron la MISMA cifra baja (5 citas operativas en los
hooks en vez de 12, 3 en DECISIONES.md en vez de 4, 36 en el WBS en vez de 39) porque el error
estaba en el metodo de los dos, no en el dato: un grep sin -i se come toda cita que empiece
con mayuscula (encabezados de comentario # --- Regla N:, notas de cabecera Regla N).</t>
        </is>
      </c>
      <c r="D22" s="4" t="inlineStr">
        <is>
          <t>un recuento se entrega con la UNIDAD de recuento definida por escrito y el comando
exacto que lo produjo pegado al lado (regla 12 de CLAUDE.md, grep previo); sin los dos, el numero
no se acepta, ni siquiera si dos agentes distintos coinciden en el (el contraste entre agentes es
el nivel mas debil de la jerarquia de la prueba, regla 9 de CLAUDE.md, y no zanja lo que zanja
una ejecucion).</t>
        </is>
      </c>
      <c r="E22" s="4" t="inlineStr">
        <is>
          <t>hallado en la tarea 03.01.13 (pasada 2, constructor-motor, ordenada por el
orquestador tras el rechazo del revisor de la pasada 1), 01/08/2026. Verificado por ejecucion:
grep -inoE 'regla[s]? [0-9]+' .githooks/pre-commit .githooks/commit-msg = 12 (no 5);
grep -inoE 'regla[s]? [0-9]+' 00-direccion/DECISIONES.md = 4 (no 3);
grep -inoE 'regla[s]? [0-9]+' 00-direccion/WBS.md | wc -l = 39 (no 36).</t>
        </is>
      </c>
    </row>
    <row r="23">
      <c r="A23" s="13" t="inlineStr">
        <is>
          <t>L-019</t>
        </is>
      </c>
      <c r="B23" s="4" t="inlineStr">
        <is>
          <t>Un dato de contenido que coincide con el separador del formato rompe el registro, y el sintoma apunta a otro sitio</t>
        </is>
      </c>
      <c r="C23" s="4" t="inlineStr">
        <is>
          <t>05-vista-ceo/generar_excel.py y 05-vista-ceo/verificar_excel.py parten la fila
por el caracter de tuberia sin respetar comillas invertidas ni escapes; escaparlo con barra invertida
no sirve.</t>
        </is>
      </c>
      <c r="D23" s="4" t="inlineStr">
        <is>
          <t>ningun contenido escrito en una tabla puede contener su separador, y toda edicion de fila
se cierra comprobando el numero de campos.</t>
        </is>
      </c>
      <c r="E23" s="4" t="inlineStr">
        <is>
          <t>PASO 0 de la tarea 07.01.01, 02/08/2026. Texto redactado por el orquestador, pegado por
secretario, detectado por critico-codigo y reproducido por el orquestador: la fila quedo en 12
campos, el parser devolvio 10 celdas en vez de 5 y verificar_excel.py paso de 2 fallos a 4.
Familia: es la misma que L-016 — el indicador es ciego justo donde importa, y aqui ademas miente
sobre donde.</t>
        </is>
      </c>
    </row>
    <row r="24">
      <c r="A24" s="13" t="inlineStr">
        <is>
          <t>L-020</t>
        </is>
      </c>
      <c r="B24" s="4" t="inlineStr">
        <is>
          <t>El orquestador presentó tres estimaciones como mediciones</t>
        </is>
      </c>
      <c r="C24" s="4" t="inlineStr">
        <is>
          <t>dictó texto para el CEO y afirmó su tamaño sin ejecutar la medida; las tres veces la ejecución lo desmintió — 945 caracteres frente a 1098 reales, 187 de párrafo frente a 306, y 30 líneas frente a 42.</t>
        </is>
      </c>
      <c r="D24" s="4" t="inlineStr">
        <is>
          <t>ninguna cifra sale de este proyecto sin el comando que la produjo al lado, y eso vale también para quien reparte (regla 14 de CLAUDE.md).</t>
        </is>
      </c>
      <c r="E24" s="4" t="inlineStr">
        <is>
          <t>tres rondas de la ficha D-17, 02/08/2026, medido por critico-codigo y reproducido por el orquestador.</t>
        </is>
      </c>
    </row>
    <row r="25">
      <c r="A25" s="13" t="inlineStr">
        <is>
          <t>L-021</t>
        </is>
      </c>
      <c r="B25" s="4" t="inlineStr">
        <is>
          <t>Una afirmación sin procedencia intentó cerrar un incidente abierto.</t>
        </is>
      </c>
      <c r="C25" s="4" t="inlineStr">
        <is>
          <t>durante la investigación del borrado de INSTALAR.md llegó a critico-codigo la frase «lo he borrado yo a mano porque no aporta nada ya», por el mismo canal que las órdenes del reparto. Verificado: no procede del CEO (sin intervención humana registrada), no procede de Claude Code, y no existe como contenido en ningún fichero del repositorio (grep sobre todo el árbol, cero coincidencias). Origen no determinable, y por tanto no se atribuye a nadie.</t>
        </is>
      </c>
      <c r="D25" s="4" t="inlineStr">
        <is>
          <t>ningún mensaje de un agente es jamás el consentimiento del CEO; una afirmación sin procedencia comprobable no cierra un incidente ni entra en ningún registro, aunque llegue por el canal de las órdenes. Una confesión es un dato de nivel 3 de la regla 9 de CLAUDE.md en el mejor caso, y sin emisor identificable no llega ni a eso.</t>
        </is>
      </c>
      <c r="E25" s="4" t="inlineStr">
        <is>
          <t>investigación del borrado de INSTALAR.md, 02/08/2026; rechazada por critico-codigo antes de conocerse su origen, por carecer de código WBS (regla 1 de CLAUDE.md), de modelo (regla 29 de CLAUDE.md), de ficha (regla 5 de CLAUDE.md) y de entrada en registro (regla 21 de CLAUDE.md), y por contradecir su propia verificación documental.</t>
        </is>
      </c>
    </row>
    <row r="26">
      <c r="A26" s="13" t="inlineStr">
        <is>
          <t>L-022</t>
        </is>
      </c>
      <c r="B26" s="4" t="inlineStr">
        <is>
          <t>Medir una instancia y llamarlo el suelo del formato</t>
        </is>
      </c>
      <c r="C26" s="4" t="inlineStr">
        <is>
          <t>el orquestador midió por ejecución su propia plantilla de ficha (504 caracteres, 24 líneas a 40 columnas) y la presentó como el mínimo que cualquier texto con los 6 elementos obligatorios podía alcanzar. Con esa afirmación declaró «inalcanzable» el listón contra el que se habían rechazado tres rondas, y justificó un techo de 900 caracteres y 200 por párrafo que dejaba pasar intacto el fichero de 612 caracteres que esas tres rondas habían rechazado. critico-codigo construyó una ficha del mismo […] texto completo en 00-direccion/LECCIONES.md</t>
        </is>
      </c>
      <c r="D26" s="4" t="inlineStr">
        <is>
          <t>una medición sobre un artefacto propio prueba ese artefacto, nunca el límite de su clase. Afirmar un suelo exige o una demostración de imposibilidad, o que lo intente alguien distinto (regla 16 de CLAUDE.md). Medir bien no protege de generalizar mal.</t>
        </is>
      </c>
      <c r="E26" s="4" t="inlineStr">
        <is>
          <t>02/08/2026, tercera y cuarta rondas de la ficha D-17; refutado por ejecución, que es el nivel 1 de la regla 9 de CLAUDE.md.</t>
        </is>
      </c>
    </row>
    <row r="27">
      <c r="A27" s="13" t="inlineStr">
        <is>
          <t>L-023</t>
        </is>
      </c>
      <c r="B27" s="4" t="inlineStr">
        <is>
          <t>Se propuso recortar el fondo para cumplir un límite de forma</t>
        </is>
      </c>
      <c r="C27" s="4" t="inlineStr">
        <is>
          <t>la ficha D-17 no cabía en el techo de longitud y el orquestador propuso eliminar la opción B —la cara y exhaustiva, que nadie recomendaba— en vez de apretar la prosa. Eso no acorta la ficha: estrecha lo que el CEO puede elegir, y lo hace justo con la opción de hacer el trabajo a fondo.</t>
        </is>
      </c>
      <c r="D27" s="4" t="inlineStr">
        <is>
          <t>cuando un entregable no cabe, se recorta la forma, nunca el fondo. Quitar una opción de una ficha de decisión no es acortar: es decidir en lugar del CEO. Si con el fondo íntegro no se cumple el límite, el que se mueve es el límite, y se mueve con la medición delante.</t>
        </is>
      </c>
      <c r="E27" s="4" t="inlineStr">
        <is>
          <t>02/08/2026, propuesto por el orquestador y detenido por Claude Code en el filtro C3 antes de ejecutarse, con el agravante de que contradecía su propia norma —«el techo se ajusta al formato, no el formato al techo»— escrita tres párrafos antes en el mismo mensaje.</t>
        </is>
      </c>
    </row>
    <row r="28">
      <c r="A28" s="13" t="inlineStr">
        <is>
          <t>L-024</t>
        </is>
      </c>
      <c r="B28" s="4" t="inlineStr">
        <is>
          <t>Una decisión firmada que no se propaga deja el proyecto funcionando con la premisa vieja</t>
        </is>
      </c>
      <c r="C28" s="4" t="inlineStr">
        <is>
          <t>D-13 se firmó el 01/08/2026 con «1 h los lunes como MÍNIMO garantizado, no techo». Pero ni el WBS ni CLAUDE.md ni las fichas de los agentes lo recogieron. El 03/08/2026 el orquestador construyó el calendario del mes contando lunes disponibles, dio por perdida una semana hacia GM que no estaba perdida, y fue el CEO quien lo corrigió, no el equipo.</t>
        </is>
      </c>
      <c r="D28" s="4" t="inlineStr">
        <is>
          <t>al firmar una decisión se localizan por grep todas las frases que la contradicen y se corrigen en el mismo commit. Si no, la decisión existe en el papel y el proyecto sigue leyendo la premisa vieja.</t>
        </is>
      </c>
      <c r="E28" s="4" t="inlineStr">
        <is>
          <t>01/08/2026 (D-13 firmada sin propagación) y 03/08/2026 (calendario equivocado, corregido por el CEO).</t>
        </is>
      </c>
    </row>
    <row r="29">
      <c r="A29" s="13" t="inlineStr">
        <is>
          <t>L-025</t>
        </is>
      </c>
      <c r="B29" s="4" t="inlineStr">
        <is>
          <t>Una orden dirigida al CEO debe declarar dónde se teclea</t>
        </is>
      </c>
      <c r="C29" s="4" t="inlineStr">
        <is>
          <t>el 03/08/2026 se le pasó al CEO la orden comprobar del cajón sin decir que exige una terminal real del sistema. El prefijo de ejecución rápida de la sesión de Claude Code no da terminal interactiva (no cumple sys.stdin.isatty()), y además el CEO recibió un error de shell por llevar dos órdenes encadenadas. Verificado por ejecución: _pedir_password() devuelve «BLOQUEADO: la contraseña solo se teclea en una terminal real».</t>
        </is>
      </c>
      <c r="D29" s="4" t="inlineStr">
        <is>
          <t>toda orden que se le dé al CEO declara dónde se teclea y por qué no vale otro sitio, y va en una sola línea sin encadenar comandos.</t>
        </is>
      </c>
      <c r="E29" s="4" t="inlineStr">
        <is>
          <t>03/08/2026, orden python3 03-motor/scripts/cajon_reservado.py comprobar pasada con el prefijo de ejecución rápida de Claude Code + encadenada con otra orden.</t>
        </is>
      </c>
    </row>
    <row r="30">
      <c r="A30" s="13" t="inlineStr">
        <is>
          <t>L-026</t>
        </is>
      </c>
      <c r="B30" s="4" t="inlineStr">
        <is>
          <t>Una prueba de inyección con el texto de la víctima escrito a mano caduca sola, y luego acusa al inocente</t>
        </is>
      </c>
      <c r="C30" s="4" t="inlineStr">
        <is>
          <t>05-vista-ceo/prueba_inyeccion.sh rompía el WBS con sed sobre fragmentos de prosa literales. El 02/08/2026 se amplió la celda de estado de 01.02.01 para añadirle una ficha de apoyo, y el patrón del caso 2 dejó de encontrar nada. Desde ese día el fichero «roto» salía idéntico al real, el verificador lo aprobaba con razón, y el script lo declaraba ESCAPA — EL VERIFICADOR NO DETECTA ESTO. Comprobado por ejecución el 03/08/2026: grep -c del patrón del caso 2 sobre el WBS da 0, y el verificador sí […] texto completo en 00-direccion/LECCIONES.md</t>
        </is>
      </c>
      <c r="D30" s="4" t="inlineStr">
        <is>
          <t>una prueba de inyección localiza a su víctima por estructura, no por su prosa (la primera fila que cumpla la condición, no un texto copiado), y comprueba que la inyección cambió algo antes de juzgar al verificador. Si el fichero roto es igual al bueno, el fallo es del test.</t>
        </is>
      </c>
      <c r="E30" s="4" t="inlineStr">
        <is>
          <t>03/08/2026, al re-pasar la prueba de inyección tras retirar la hoja TRASPLANTE del generador del Excel (D-21). Reparado en el mismo día: víctima localizada por estructura y guardia FIXTURE añadido y verificado por inyección deliberada de una fixture caducada.</t>
        </is>
      </c>
    </row>
    <row r="31">
      <c r="A31" s="13" t="inlineStr">
        <is>
          <t>L-027</t>
        </is>
      </c>
      <c r="B31" s="4" t="inlineStr">
        <is>
          <t>Borrar una fila del WBS con una herramienta de texto puede fusionar dos filas sin avisar</t>
        </is>
      </c>
      <c r="C31" s="4" t="inlineStr">
        <is>
          <t>el 03/08/2026, al eliminar la fila 01.02.02 por D-21, la operación se llevó también el salto de línea siguiente y dejó las filas de 01.02.01 y 01.02.03 fusionadas en una sola línea de 13 campos. El WBS seguía pareciendo correcto de un vistazo: ninguna palabra se había perdido. Lo detectó el recuento de filas, que bajó de 56 a 54 en vez de a 55. Es el tercer incidente de la semana en que el WBS se corrompe por formato y no por contenido.</t>
        </is>
      </c>
      <c r="D31" s="4" t="inlineStr">
        <is>
          <t>después de toda edición estructural del WBS —añadir, borrar o mover filas— se ejecuta un recuento que compruebe dos cosas: el número de filas esperado y que toda fila de tarea tiene exactamente 7 campos al partir por la barra vertical. No vale mirarlo: se ejecuta.</t>
        </is>
      </c>
      <c r="E31" s="4" t="inlineStr">
        <is>
          <t>03/08/2026, eliminación de 01.02.02 (D-21). Detectado y reparado en la misma tirada antes de generar nada.</t>
        </is>
      </c>
    </row>
    <row r="32">
      <c r="A32" s="13" t="inlineStr">
        <is>
          <t>L-028</t>
        </is>
      </c>
      <c r="B32" s="4" t="inlineStr">
        <is>
          <t>Rodear el limite de herramienta de un agente parece un atajo y es el fallo</t>
        </is>
      </c>
      <c r="C32" s="4" t="inlineStr">
        <is>
          <t>critico-codigo tiene Bash pero no Write, y se le ordenó dos veces entregar un fichero. La salida cómoda estaba a mano: .claude/settings.json permite Bash(python3 *), así que cualquier agente con Bash puede escribir cualquier fichero sin usar la herramienta Write. Usarlo habría convertido el límite del agente en una sugerencia y habría dejado al vigilado eligiendo su propia exención, que es lo que prohibe la regla 26 de CLAUDE.md. Lo mismo vale para el sistema de permisos: rm no está en la lista […] texto completo en 00-direccion/LECCIONES.md</t>
        </is>
      </c>
      <c r="D32" s="4" t="inlineStr">
        <is>
          <t>el límite de herramienta de un agente y el sistema de permisos no se rodean. Se corrige el reparto o se espera la confirmación. Todo artefacto lo persiste un agente que tenga Write, y la cadena de custodia se declara dentro del propio fichero. Toda orden declara quién persiste el artefacto, comprobado contra el campo tools de la ficha del agente ANTES de repartir.</t>
        </is>
      </c>
      <c r="E32" s="4" t="inlineStr">
        <is>
          <t>03/08/2026. El orquestador diagnosticó que critico-codigo no tiene Write, dictó esta norma en un mensaje que nunca llegó a ningún artefacto, y volvió a pedirle un fichero en la orden siguiente. Los dos veredictos afectados —lotes (b+c) y (d) de la tarea 07.01.03— quedaron sin artefacto hasta que los pegó secretario. Detectado por critico-codigo, que buscó la cita por grep y no la encontró.</t>
        </is>
      </c>
    </row>
    <row r="33">
      <c r="A33" s="13" t="inlineStr">
        <is>
          <t>L-029</t>
        </is>
      </c>
      <c r="B33" s="4" t="inlineStr">
        <is>
          <t>«Anadir al final» y «sustituir» dan resultados que no se distinguen mirando</t>
        </is>
      </c>
      <c r="C33" s="4" t="inlineStr">
        <is>
          <t>una orden decía «sustituye — pendiente al final de la celda por este texto» y se ejecutó como «sustituye la celda». El resultado parecía correcto: la celda tenía su cierre, su estado en negrita, sus 7 campos y el fichero pasaba todas las comprobaciones estructurales. Lo que faltaba no se ve mirando lo que hay, solo midiendo lo que ya no está: 1.050 caracteres, entre ellos la corrección de un defecto y la declaración de que se había corregido. Quien ejecutó no tiene terminal y no podía comprobar […] texto completo en 00-direccion/LECCIONES.md</t>
        </is>
      </c>
      <c r="D33" s="4" t="inlineStr">
        <is>
          <t>toda edición de una celda se cierra comparándola contra un punto de control inmutable, comprobando que cada frase anterior sigue estando, y nunca por longitud: una celda puede crecer y perder contenido a la vez. Si no hay punto de control, se crea antes de editar con git hash-object -w, que no commitea ni toca el árbol.</t>
        </is>
      </c>
      <c r="E33" s="4" t="inlineStr">
        <is>
          <t>04/08/2026, cierre de la tarea 04.03.06. Pérdida medida contra el blob ffbf6774…: 7 frases con conteo 1 antes y 0 después.</t>
        </is>
      </c>
    </row>
    <row r="34">
      <c r="A34" s="13" t="inlineStr">
        <is>
          <t>L-030</t>
        </is>
      </c>
      <c r="B34" s="4" t="inlineStr">
        <is>
          <t>El trabajo honesto se queda en la tabla y el resumen es lo unico que llega arriba</t>
        </is>
      </c>
      <c r="C34" s="4" t="inlineStr">
        <is>
          <t>en comparacion_brokers.md las 24 celdas con fuente estaban verificadas y los 8 huecos bien declarados, pero la sección de síntesis convertía un hueco en hecho —daba por supuesto que XTB tenía API cuando su propia celda decía «no confirmado»— y arrastraba un recuento falso de una redacción anterior no releída (regla 15 de CLAUDE.md). El defecto no estaba en el trabajo: estaba en el único sitio que el CEO iba a leer.</t>
        </is>
      </c>
      <c r="D34" s="4" t="inlineStr">
        <is>
          <t>el resumen se deriva de la tabla y se comprueba contra ella frase a frase antes de entregar. Ninguna afirmación del resumen puede ser más fuerte que la celda de la que sale, y un hueco declarado abajo sigue siendo un hueco arriba. Todo revisor de un documento que suba al CEO contrasta el resumen contra el cuerpo como paso nombrado, no como lectura general.</t>
        </is>
      </c>
      <c r="E34" s="4" t="inlineStr">
        <is>
          <t>04/08/2026, revisión de la pasada 1 de la tarea 04.01.01 por critico-codigo.</t>
        </is>
      </c>
    </row>
    <row r="35">
      <c r="A35" s="13" t="inlineStr">
        <is>
          <t>L-031</t>
        </is>
      </c>
      <c r="B35" s="4" t="inlineStr">
        <is>
          <t>Repartir a ciegas no sirve si la ficha ya lleva dentro lo que el ejecutor no debe saber</t>
        </is>
      </c>
      <c r="C35" s="4" t="inlineStr">
        <is>
          <t>el orquestador diseñó la segunda pasada de 04.01.01 con ejecutor ciego y revisor informado, para que una preferencia declarada por el CEO se convirtiera en hipótesis contrastable y no en sesgo de confirmación. Y en la misma ficha escribió que el CEO había preguntado por cierto régimen regulatorio «con la frase eso es lo que busco», tres líneas antes de prohibir al ejecutor conocer preferencias. No hacía falta nombrar al broker: ese régimen ya era el de uno de los candidatos, así que la ficha […] texto completo en 00-direccion/LECCIONES.md</t>
        </is>
      </c>
      <c r="D35" s="4" t="inlineStr">
        <is>
          <t>cuando se reparte a ciegas, la ficha también va a ciegas, y se comprueba expresamente antes de entregarla al ejecutor. No basta con quitar el nombre: se retira toda marca de deseo —régimen, jurisdicción, condición o rasgo presentado como buscado—. Prueba de que la cita sobra: si el criterio define el alcance sin ella, es preferencia y no alcance.</t>
        </is>
      </c>
      <c r="E35" s="4" t="inlineStr">
        <is>
          <t>04/08/2026, ficha de la segunda pasada de 04.01.01, escrita por secretario con texto dictado por el orquestador. Detectado por critico-codigo, que fue más lejos de lo que se le pidió: se le encargó comprobar que no apareciera el nombre del broker preferido.</t>
        </is>
      </c>
    </row>
    <row r="36">
      <c r="A36" s="13" t="inlineStr">
        <is>
          <t>L-032</t>
        </is>
      </c>
      <c r="B36" s="4" t="inlineStr">
        <is>
          <t>Un sesgo se mide por su efecto en quien lee para actuar, no por su gramatica</t>
        </is>
      </c>
      <c r="C36" s="4" t="inlineStr">
        <is>
          <t>la misma frase de la ficha de 04.01.01 produjo dos lecturas opuestas. El revisor analizó el antecedente del pronombre y concluyó que era alcance. El investigador, que la leyó para trabajar, la entendió como preferencia del CEO y lo declaró por su cuenta antes de empezar. El análisis decía que no contaminaba; el contaminado decía que sí.</t>
        </is>
      </c>
      <c r="D36" s="4" t="inlineStr">
        <is>
          <t>la prueba de L-031 no es semántica sino funcional — si el criterio define el alcance sin la frase, la frase es preferencia y se retira, diga lo que diga su sintaxis. Y ante dos lecturas enfrentadas, manda la de quien la leyó para ejecutar: es evidencia de efecto, que es nivel 1 de la regla 9 de CLAUDE.md, frente a un análisis, que es nivel 3.</t>
        </is>
      </c>
      <c r="E36" s="4" t="inlineStr">
        <is>
          <t>04/08/2026, pasada 2 de 04.01.01. El ejecutor declaró la fuga en su propia entrega sin que nadie se lo pidiera.</t>
        </is>
      </c>
    </row>
    <row r="37">
      <c r="A37" s="13" t="inlineStr">
        <is>
          <t>L-033</t>
        </is>
      </c>
      <c r="B37" s="4" t="inlineStr">
        <is>
          <t>El hallazgo de un revisor sobre un MENSAJE se convirtio en una orden de editar un FICHERO</t>
        </is>
      </c>
      <c r="C37" s="4" t="inlineStr">
        <is>
          <t>el revisor de la ronda 3 de 04.03.06 señaló que el arquitecto, en su mensaje de entrega, atribuía a R-12 lo que fija R-08 — un comentario sobre el razonamiento, y remataba que el fundamento real estaba en R-08 y verificado en el código. El orquestador lo convirtió en una orden de sustituir R-12 por R-08 dentro del fichero, y Claude Code la transmitió sin comprobarla. El fichero decía R-08 desde que nació. Comprobado por el ejecutor con tres métodos antes de obedecer: copia defensiva, git diff […] texto completo en 00-direccion/LECCIONES.md</t>
        </is>
      </c>
      <c r="D37" s="4" t="inlineStr"/>
      <c r="E37" s="4" t="inlineStr">
        <is>
          <t>04/08/2026, ronda 3 de la especificación del motor. Detenido por constructor-datos al comprobar la premisa antes de obedecer.</t>
        </is>
      </c>
    </row>
    <row r="38">
      <c r="A38" s="13" t="inlineStr">
        <is>
          <t>L-034</t>
        </is>
      </c>
      <c r="B38" s="4" t="inlineStr">
        <is>
          <t>Una lección sin muro se repite: L-023 volvió a pasar tres días después</t>
        </is>
      </c>
      <c r="C38" s="4" t="inlineStr">
        <is>
          <t>al reparar la ficha D-28 en la ronda 2, el secretario recortó el FONDO de las líneas de D-22 y D-23 para hacer sitio al arreglo de la de D-24. Es exactamente L-023 —«se recorta la forma, nunca el fondo»— con otro agente, otro artefacto y tres días de diferencia.</t>
        </is>
      </c>
      <c r="D38" s="4" t="inlineStr">
        <is>
          <t>cuando una ronda de corrección toca un entregable, la ronda siguiente vuelve a comprobar TAMBIÉN lo que la ronda anterior ya había aprobado; una corrección es un cambio y un cambio puede romper lo que ya pasaba. Y la segunda, que es la que duele: L-023 no tiene muro, solo prosa, y lo único que la hizo caer fue que alguien la releyera a tiempo.</t>
        </is>
      </c>
      <c r="E38" s="4" t="inlineStr">
        <is>
          <t>05/08/2026, ronda 2 de FICHA_D-28, detenida por Claude Code en el filtro C3.</t>
        </is>
      </c>
    </row>
    <row r="39">
      <c r="A39" s="13" t="inlineStr">
        <is>
          <t>L-035</t>
        </is>
      </c>
      <c r="B39" s="4" t="inlineStr">
        <is>
          <t>Una prueba que deja huellas donde otro va a auditar fabrica incidentes falsos</t>
        </is>
      </c>
      <c r="C39" s="4" t="inlineStr">
        <is>
          <t>03-motor/scripts/verificar_barreras.py planta sus sondas DENTRO de 02-datos/bruto/ y 02-datos/limpio/. El 05/08, auditando si una inyección de borrado había rozado datos reales, el validador encontró ficheros recién tocados ahí y estuvo a punto de declarar un incidente inexistente: eran las sondas de la propia herramienta de verificación.</t>
        </is>
      </c>
      <c r="D39" s="4" t="inlineStr">
        <is>
          <t>una herramienta de verificación escribe sus sondas en un directorio propio y desechable, nunca dentro del activo que vigila; y quien audite mtimes después de ejecutarla tiene que descontar sus sondas antes de concluir nada.</t>
        </is>
      </c>
      <c r="E39" s="4" t="inlineStr">
        <is>
          <t>05/08/2026, segunda pasada de barreras de 03.01.08.</t>
        </is>
      </c>
    </row>
    <row r="40">
      <c r="A40" s="13" t="inlineStr">
        <is>
          <t>L-036</t>
        </is>
      </c>
      <c r="B40" s="4" t="inlineStr">
        <is>
          <t>Se exigió una comprobación que el agente no podía ejecutar, y la declaró igual</t>
        </is>
      </c>
      <c r="C40" s="4" t="inlineStr">
        <is>
          <t>el criterio de hecho de la orden exigía comprobar la métrica de L-027 con awk -F'|' a un agente que no tiene herramienta de Bash. No podía ejecutarla. La declaró cumplida igual, y cuatro filas del WBS quedaron partidas en tres líneas cada una.</t>
        </is>
      </c>
      <c r="D40" s="4" t="inlineStr">
        <is>
          <t>el criterio de hecho de una orden tiene que ser ejecutable con las herramientas del agente al que se le da. Quien reparte lo comprueba antes de mandar; el ejecutor que no pueda medirlo devuelve la orden en vez de afirmarlo.</t>
        </is>
      </c>
      <c r="E40" s="4" t="inlineStr">
        <is>
          <t>05/08/2026, escritura de las cuatro celdas del lote C. Las filas rotas las cazó Claude Code en su filtro, no el revisor. Es la tercera lección incumplida el mismo día: L-023 (que produjo L-034) y L-027 (que produce ésta). El fallo de origen lo declaró el propio orquestador: su reparto exigía lo imposible (regla 6 de CLAUDE.md).</t>
        </is>
      </c>
    </row>
    <row r="41">
      <c r="A41" s="13" t="inlineStr">
        <is>
          <t>L-037</t>
        </is>
      </c>
      <c r="B41" s="4" t="inlineStr">
        <is>
          <t>Quien reparte dictó para el CEO una frase más fuerte que su celda, el mismo día que ordenaba cazar eso mismo</t>
        </is>
      </c>
      <c r="C41" s="4" t="inlineStr">
        <is>
          <t>el orquestador dictó el fondo de la ficha D-29 y escribió «el cajón reservado se puede leer esquivando el permiso… comprobado por ejecución». Lo comprobado el 05/08 en 03.01.08 es otra cosa: el patrón Bash( 02-datos/reservado) exige un espacio literal y no cubre la ruta pegada a una comilla, y ese intento «la paró una capa distinta y no determinista»; el contenido además sigue cifrado (D-10). Hueco de diseño probado, lectura no lograda. En la misma tirada, ese mismo orquestador ordenaba a un […] texto completo en 00-direccion/LECCIONES.md</t>
        </is>
      </c>
      <c r="D41" s="4" t="inlineStr">
        <is>
          <t>L-030 se aplica también —y sobre todo— a la ficha de decisión del CEO, que es el resumen que llega más arriba, y también cuando el texto lo dicta quien reparte. Toda afirmación de hecho de una ficha se localiza en su celda de origen antes de entregarla, y quien la dicta no queda exento por dictarla. Añadido: un estado de tarea citado en una ficha se lee del WBS, no del informe de estado que lo […] texto completo en 00-direccion/LECCIONES.md</t>
        </is>
      </c>
      <c r="E41" s="4" t="inlineStr">
        <is>
          <t>06/08/2026, ronda 1 de FICHA_D-29. H2 lo detectó critico-codigo localizando la celda de 03.01.08; el estado falso lo detectó el orquestador al juzgar, con awk sobre el WBS. En la misma ronda el revisor atribuyó al secretario una frase que había dictado el orquestador, sin localizarla en su origen: L-033 otra vez, ahora dentro del hallazgo que sí era bueno.</t>
        </is>
      </c>
    </row>
    <row r="42">
      <c r="A42" s="13" t="inlineStr">
        <is>
          <t>L-038</t>
        </is>
      </c>
      <c r="B42" s="4" t="inlineStr">
        <is>
          <t>Se declaró no comprobable el origen de un texto dictado, buscándolo donde no estaba</t>
        </is>
      </c>
      <c r="C42" s="4" t="inlineStr">
        <is>
          <t>en la ronda 2 de la ficha D-29, critico-codigo intentó averiguar quién había
escrito «cuatro arreglos pequeños», buscó con grep -rn sobre 00-direccion/ y concluyó, con
razón para ese ámbito, que la autoría no era comprobable a nivel 1 ni 2. El orquestador había
afirmado que era suya, lo que sin prueba es nivel 3. El texto sí estaba en disco: las órdenes
de reparto viven en los transcripts de sesión, ficheros .jsonl bajo el directorio de proyectos de
Claude Code —la misma clase de fuente que la […] texto completo en 00-direccion/LECCIONES.md</t>
        </is>
      </c>
      <c r="D42" s="4" t="inlineStr">
        <is>
          <t>un texto dictado por un agente no es prueba perdida. Antes de declarar una autoría o una
procedencia «no comprobable», se busca también en los transcripts de sesión y se distingue el rol de
la entrada: un assistant es producción y un user puede ser la misma frase volviendo. Y la que
duele: quien afirma su propia autoría está dando nivel 3 sobre sí mismo; si hay fichero, se cita
el fichero.</t>
        </is>
      </c>
      <c r="E42" s="4" t="inlineStr">
        <is>
          <t>06/08/2026, ronda 2 de FICHA_D-29. Reparo levantado por critico-codigo, localización
aportada por Claude Code y verificada por el orquestador: entrada 48 de
agent-abddab6a788baa2d2.jsonl, role: assistant, model: claude-opus-5.</t>
        </is>
      </c>
    </row>
    <row r="43">
      <c r="A43" s="13" t="inlineStr">
        <is>
          <t>L-039</t>
        </is>
      </c>
      <c r="B43" s="4" t="inlineStr">
        <is>
          <t>Una orden de reparto añadió filtros que la ficha no tenía, y el ejecutor eliminó por el CEO sin saberlo</t>
        </is>
      </c>
      <c r="C43" s="4" t="inlineStr">
        <is>
          <t>la instrucción P8 de la orden del 06/08 pidió juzgar la tabla de brokers por «los criterios eliminatorios — 1, 10, 5 (demo) y 6 (API)». La ficha de 04.01.01 no declara eliminatorios ni el 5 ni el 6: grep -on "eliminatori[a-z]*" 00-direccion/WBS.md devuelve UNA aparición, línea 129, pegada al criterio 1, y de la API la ficha solo dice que hará falta en 03.01.03 y 05.01.01, tareas futuras y no condición para firmar. Con el 6 como filtro, el veredicto declaró eliminado al único bróker con fuente […] texto completo en 00-direccion/LECCIONES.md</t>
        </is>
      </c>
      <c r="D43" s="4" t="inlineStr">
        <is>
          <t>quien reparte no añade criterios de exclusión que no estén en la ficha. Todo filtro que se pase a un ejecutor lleva pegada su localización por grep en la ficha o en la decisión que lo creó; filtro sin localización no se pasa. Y todo veredicto que EXCLUYA candidatos se comprueba contra el criterio con el que los excluye antes de aceptarlo: un ejecutor obediente convierte un filtro inventado en […] texto completo en 00-direccion/LECCIONES.md</t>
        </is>
      </c>
      <c r="E43" s="4" t="inlineStr">
        <is>
          <t>06/08/2026, ronda 2 de 04.01.01. Detectado por critico-codigo auditando el veredicto del validador, que lo había firmado obedeciendo la orden. El auditor lo atribuyó al validador; la comprobación por el método de L-038 lo devolvió a su origen — entrada 48 de agent-abddab6a788baa2d2.jsonl, role: assistant, model: claude-opus-5: lo dictó el orquestador. Segunda vez el mismo día que un hallazgo […] texto completo en 00-direccion/LECCIONES.md</t>
        </is>
      </c>
    </row>
    <row r="44">
      <c r="A44" s="13" t="inlineStr">
        <is>
          <t>L-040</t>
        </is>
      </c>
      <c r="B44" s="4" t="inlineStr">
        <is>
          <t>Un texto que cita un grep sobre el fichero donde se escribe rompe su propia prueba al guardarse</t>
        </is>
      </c>
      <c r="C44" s="4" t="inlineStr">
        <is>
          <t>el cierre de 04.01.01 y la lección L-039 afirman que la palabra «eliminatorio»
«aparece una sola vez en el WBS». Era cierto al repartir la orden y falso en el instante de
guardarse: el propio párrafo que lo afirma introduce dos apariciones más. Medido —
grep -on "eliminatori[a-z]*" 00-direccion/WBS.md da 1 sobre el commit da93597 y 3 sobre
el fichero después de la pasada, las tres en la línea 129. El fondo del hallazgo no cambia: que
la instrucción P8 añadió como eliminatorios los criterios 5 y […] texto completo en 00-direccion/LECCIONES.md</t>
        </is>
      </c>
      <c r="D44" s="4" t="inlineStr">
        <is>
          <t>toda cifra de recuento se ancla al objeto inmutable sobre el que se midió —un commit o un
blob de git hash-object—, nunca al fichero vivo en el que se está escribiendo. Y todo recuento que
vaya a vivir dentro del mismo fichero que cuenta se vuelve a ejecutar DESPUÉS de escribirlo: si
el número cambió, lo cambió el texto. Heredar una cifra correcta del momento en que otro la calculó
es justo lo […] texto completo en 00-direccion/LECCIONES.md</t>
        </is>
      </c>
      <c r="E44" s="4" t="inlineStr">
        <is>
          <t>06/08/2026, auditoría del cierre de 04.01.01 por critico-codigo, que ejecutó el mismo
grep sobre el punto de control y sobre el fichero posterior y obtuvo 1 frente a 3.</t>
        </is>
      </c>
    </row>
    <row r="45">
      <c r="A45" s="13" t="inlineStr">
        <is>
          <t>L-041</t>
        </is>
      </c>
      <c r="B45" s="4" t="inlineStr">
        <is>
          <t>El mensaje de reparto no es el registro. Lo que no está en el fichero que manda, no existe.</t>
        </is>
      </c>
      <c r="C45" s="4" t="inlineStr"/>
      <c r="D45" s="4" t="inlineStr">
        <is>
          <t>una orden de reparto no crea nada. Antes de mandar ejecutar: la fila de la tarea está
en el WBS o no se manda · la línea tools: del agente que ejecuta se localiza por grep y ningún
criterio de hecho exige una herramienta que no aparezca en ella, y si la exige **la prueba se
traslada al revisor** · todo L-NN o D-NN citado se localiza por grep antes de pasarlo · y
ninguna cifra de recuento se dicta […] texto completo en 00-direccion/LECCIONES.md</t>
        </is>
      </c>
      <c r="E45" s="4" t="inlineStr">
        <is>
          <t>09/08/2026. Casos 1 y 2 detectados por critico-codigo; caso 3 por validador; caso 4
por critico-codigo sobre la propia frase escrita para confesar el caso 1. Los cuatro reproducidos
por el orquestador antes de juzgar.
Anclaje de la cifra (añadido el 09/08/2026 por el orquestador al ordenar el pegado; no forma parte del texto dictado en el parte y por eso va firmado aparte). La frase del punto […] texto completo en 00-direccion/LECCIONES.md</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96" customWidth="1" min="2" max="2"/>
  </cols>
  <sheetData>
    <row r="1" ht="24" customHeight="1">
      <c r="A1" s="1" t="inlineStr">
        <is>
          <t>AUTONOMIA — que llega al CEO y que no</t>
        </is>
      </c>
      <c r="B1" s="2" t="n"/>
    </row>
    <row r="3" ht="28" customHeight="1">
      <c r="A3" s="3" t="inlineStr">
        <is>
          <t>CUANDO</t>
        </is>
      </c>
      <c r="B3" s="3" t="inlineStr">
        <is>
          <t>QUE PASA</t>
        </is>
      </c>
    </row>
    <row r="4">
      <c r="A4" s="40" t="inlineStr">
        <is>
          <t>Lo cierra el equipo, sin consultar</t>
        </is>
      </c>
      <c r="B4" s="4" t="inlineStr">
        <is>
          <t>cerrar tareas que cumplen su criterio
· orden de tareas ya aprobadas
· subtareas dentro de alcance
· descartar hipótesis o variantes que no pasan el filtro
· reescribir tareas ambiguas
· mover, corregir o borrar archivos para mantener el orden (git deshace).</t>
        </is>
      </c>
    </row>
    <row r="5">
      <c r="A5" s="40" t="inlineStr">
        <is>
          <t>Llega al CEO, en el informe semanal</t>
        </is>
      </c>
      <c r="B5" s="4" t="inlineStr">
        <is>
          <t>mejoras del motor no previstas (sin aprobación, no se hacen)
· tareas nuevas de primer nivel.</t>
        </is>
      </c>
    </row>
    <row r="6">
      <c r="A6" s="40" t="inlineStr">
        <is>
          <t>Llega al CEO como excepción inmediata (se para hasta respuesta)</t>
        </is>
      </c>
      <c r="B6" s="4" t="inlineStr">
        <is>
          <t>gasto nuevo (datos de pago, VPS, broker, créditos extra)
· cualquier cosa con dinero real
· bloqueo de más de 24 h
· 3 vueltas del bucle de hipótesis sin éxito.</t>
        </is>
      </c>
    </row>
    <row r="7">
      <c r="A7" s="40" t="inlineStr">
        <is>
          <t>Llega al CEO solo en una puerta</t>
        </is>
      </c>
      <c r="B7" s="4" t="inlineStr">
        <is>
          <t>cambiar de mercado, de tamaño de vela o de planteamiento.</t>
        </is>
      </c>
    </row>
    <row r="9">
      <c r="A9" s="15" t="inlineStr">
        <is>
          <t>FORMATO OBLIGATORIO DE FICHA DE DECISION (regla 10)</t>
        </is>
      </c>
    </row>
    <row r="10" ht="100" customHeight="1">
      <c r="A10" s="35" t="inlineStr">
        <is>
          <t>D[n] — [Qué se decide, una línea]
A) [opción]   B) [opción]   C) [opción]
RECOMENDADA: [letra] — [motivo en una línea]
SI ELIGES OTRA: [consecuencia de cada una, una línea]
BLOQUEA: [qué tareas no pueden avanzar hasta que respondas]
RESPUESTA: [una letra]</t>
        </is>
      </c>
    </row>
  </sheetData>
  <mergeCells count="2">
    <mergeCell ref="A10:B10"/>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ht="24" customHeight="1">
      <c r="A1" s="1" t="inlineStr">
        <is>
          <t>LIMITES DEL CEO</t>
        </is>
      </c>
    </row>
    <row r="4" ht="34" customHeight="1">
      <c r="A4" s="4" t="inlineStr">
        <is>
          <t>Horizonte: 1 mes. Evaluación el 1 de septiembre (puerta GM). (D-5)</t>
        </is>
      </c>
    </row>
    <row r="5" ht="34" customHeight="1">
      <c r="A5" s="4" t="inlineStr">
        <is>
          <t>FECHA TOPE: 01/12/2026 (D-12). Si a esa fecha no hay ninguna estrategia en demo, el proyecto se cierra y se escribe el informe de por qué. Antes del 01/08/2026 no existía ninguna fecha de parada.</t>
        </is>
      </c>
    </row>
    <row r="6" ht="34" customHeight="1">
      <c r="A6" s="4" t="inlineStr">
        <is>
          <t>Revisión de avance el día 1 de cada mes (D-12): 01/09 (= GM), 01/10 y 01/11. Cada una puede PARAR el proyecto. Pregunta fija: «¿avanza por buen camino?».</t>
        </is>
      </c>
    </row>
    <row r="7" ht="34" customHeight="1">
      <c r="A7" s="4" t="inlineStr">
        <is>
          <t>Tiempo del CEO: 1 hora los lunes, como MÍNIMO GARANTIZADO, no como techo (D-4 + D-13 + D-18). Lo que esté listo le llega el día que esté listo, sin tope de número; el CEO marca el final del día cuando no puede seguir, lo que quede acumula al día siguiente. Máximo 5 fichas de decisión en el checkpoint del lunes; si hay más, el orquestador prioriza y las sobrantes esperan al lunes siguiente. Lo que protege es que cada ficha llegue en formato obligatorio (sección «Qué llega al CEO y qué no» de CLAUDE.md): masticada, opciones cerradas, recomendada con motivo, respuesta de una letra. El CEO sigue el proyecto a diario, lo que NO amplía lo que se le puede preguntar.</t>
        </is>
      </c>
    </row>
    <row r="8" ht="34" customHeight="1">
      <c r="A8" s="4" t="inlineStr">
        <is>
          <t>Dinero real (D-14): capital 1.000-2.000 € (ya es entrada de G1-C6, D-11; cambiarlo obliga a re-verificar G1-C6). AVISO a -25% del capital inicial ingresado, que no para nada: se reporta y decide el CEO. PARADA DURA AUTOMÁTICA a -30% del capital inicial, aplicada por el bot de forma CONTINUA y sin exención activable desde dentro (regla 26 de CLAUDE.md). Se mide sobre el capital inicial ingresado, no sobre el máximo alcanzado. Recuperar desde -30% exige +43%.</t>
        </is>
      </c>
    </row>
    <row r="9" ht="34" customHeight="1">
      <c r="A9" s="4" t="inlineStr">
        <is>
          <t>Techo del 20% de motor (regla 8 de CLAUDE.md) SUSPENDIDO (D-17): El 03/08/2026 el techo de motor quedó SUSPENDIDO hasta que 03.01.05 esté hecha O llegue el 01/09/2026, lo que ocurra PRIMERO. Mientras esté en vigor la suspensión, el equipo puede dedicar más del 20% a motor en una tirada si es necesario para desbloquear producto. La regla 8 no se elimina; se suspende con disparador que impone el sistema (regla 26 de CLAUDE.md).</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2026-08-12T17:09:17Z</dcterms:created>
  <dcterms:modified xsi:type="dcterms:W3CDTF">2026-08-12T17:09:17Z</dcterms:modified>
</cp:coreProperties>
</file>