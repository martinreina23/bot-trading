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EL" sheetId="1" state="visible" r:id="rId1"/>
    <sheet name="SIGUIENTE" sheetId="2" state="visible" r:id="rId2"/>
    <sheet name="TAREAS" sheetId="3" state="visible" r:id="rId3"/>
    <sheet name="CALENDARIO" sheetId="4" state="visible" r:id="rId4"/>
    <sheet name="PUERTAS" sheetId="5" state="visible" r:id="rId5"/>
    <sheet name="EQUIPO" sheetId="6" state="visible" r:id="rId6"/>
    <sheet name="REGLAS" sheetId="7" state="visible" r:id="rId7"/>
    <sheet name="DECISIONES" sheetId="8" state="visible" r:id="rId8"/>
    <sheet name="TRASPLANTE gb2" sheetId="9" state="visible" r:id="rId9"/>
    <sheet name="LECCIONES" sheetId="10" state="visible" r:id="rId10"/>
    <sheet name="AUTONOMIA" sheetId="11" state="visible" r:id="rId11"/>
    <sheet name="LIMITES CEO" sheetId="12" state="visible" r:id="rId12"/>
  </sheets>
  <definedNames>
    <definedName name="_xlnm._FilterDatabase" localSheetId="2" hidden="1">'TAREAS'!$A$4:$G$69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3"/>
    </font>
    <font>
      <name val="Arial"/>
      <i val="1"/>
      <sz val="9"/>
    </font>
    <font>
      <name val="Arial"/>
      <b val="1"/>
      <color rgb="00FFFFFF"/>
      <sz val="10"/>
    </font>
    <font>
      <name val="Arial"/>
      <sz val="10"/>
    </font>
    <font>
      <name val="Arial"/>
      <b val="1"/>
      <sz val="10"/>
    </font>
    <font>
      <name val="Arial"/>
      <b val="1"/>
      <sz val="11"/>
    </font>
  </fonts>
  <fills count="10">
    <fill>
      <patternFill/>
    </fill>
    <fill>
      <patternFill patternType="gray125"/>
    </fill>
    <fill>
      <patternFill patternType="solid">
        <fgColor rgb="001F3864"/>
      </patternFill>
    </fill>
    <fill>
      <patternFill patternType="solid">
        <fgColor rgb="00FFF2CC"/>
      </patternFill>
    </fill>
    <fill>
      <patternFill patternType="solid">
        <fgColor rgb="002F5496"/>
      </patternFill>
    </fill>
    <fill>
      <patternFill patternType="solid">
        <fgColor rgb="004472C4"/>
      </patternFill>
    </fill>
    <fill>
      <patternFill patternType="solid">
        <fgColor rgb="00FCE4D6"/>
      </patternFill>
    </fill>
    <fill>
      <patternFill patternType="solid">
        <fgColor rgb="00FFEB9C"/>
      </patternFill>
    </fill>
    <fill>
      <patternFill patternType="solid">
        <fgColor rgb="00C6EFCE"/>
      </patternFill>
    </fill>
    <fill>
      <patternFill patternType="solid">
        <fgColor rgb="00FFC7CE"/>
      </patternFill>
    </fill>
  </fills>
  <borders count="6">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vertical="center"/>
    </xf>
    <xf numFmtId="0" fontId="0" fillId="2" borderId="0" pivotButton="0" quotePrefix="0" xfId="0"/>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5" fillId="3" borderId="1" pivotButton="0" quotePrefix="0" xfId="0"/>
    <xf numFmtId="0" fontId="5" fillId="3" borderId="1" applyAlignment="1" pivotButton="0" quotePrefix="0" xfId="0">
      <alignment horizontal="center" vertical="center" wrapText="1"/>
    </xf>
    <xf numFmtId="9" fontId="5" fillId="3" borderId="1" applyAlignment="1" pivotButton="0" quotePrefix="0" xfId="0">
      <alignment horizontal="center" vertical="center" wrapText="1"/>
    </xf>
    <xf numFmtId="0" fontId="6" fillId="0" borderId="0" pivotButton="0" quotePrefix="0" xfId="0"/>
    <xf numFmtId="0" fontId="0" fillId="0" borderId="4" pivotButton="0" quotePrefix="0" xfId="0"/>
    <xf numFmtId="0" fontId="0" fillId="0" borderId="5" pivotButton="0" quotePrefix="0" xfId="0"/>
    <xf numFmtId="49" fontId="4" fillId="0" borderId="1" applyAlignment="1" pivotButton="0" quotePrefix="0" xfId="0">
      <alignment vertical="top" wrapText="1"/>
    </xf>
    <xf numFmtId="0" fontId="4" fillId="7" borderId="1" applyAlignment="1" pivotButton="0" quotePrefix="0" xfId="0">
      <alignment horizontal="center" vertical="center" wrapText="1"/>
    </xf>
    <xf numFmtId="0" fontId="5" fillId="0" borderId="0" pivotButton="0" quotePrefix="0" xfId="0"/>
    <xf numFmtId="0" fontId="4" fillId="0" borderId="0" applyAlignment="1" pivotButton="0" quotePrefix="0" xfId="0">
      <alignment vertical="top" wrapText="1"/>
    </xf>
    <xf numFmtId="0" fontId="4" fillId="8" borderId="1" pivotButton="0" quotePrefix="0" xfId="0"/>
    <xf numFmtId="0" fontId="4" fillId="7" borderId="1" pivotButton="0" quotePrefix="0" xfId="0"/>
    <xf numFmtId="0" fontId="4" fillId="0" borderId="1" pivotButton="0" quotePrefix="0" xfId="0"/>
    <xf numFmtId="0" fontId="4" fillId="9" borderId="1" pivotButton="0" quotePrefix="0" xfId="0"/>
    <xf numFmtId="0" fontId="2" fillId="3" borderId="0" applyAlignment="1" pivotButton="0" quotePrefix="0" xfId="0">
      <alignment vertical="top" wrapText="1"/>
    </xf>
    <xf numFmtId="0" fontId="0" fillId="3" borderId="0" pivotButton="0" quotePrefix="0" xfId="0"/>
    <xf numFmtId="0" fontId="6" fillId="7" borderId="1" applyAlignment="1" pivotButton="0" quotePrefix="0" xfId="0">
      <alignment vertical="top" wrapText="1"/>
    </xf>
    <xf numFmtId="0" fontId="0" fillId="7" borderId="1" applyAlignment="1" pivotButton="0" quotePrefix="0" xfId="0">
      <alignment vertical="top" wrapText="1"/>
    </xf>
    <xf numFmtId="0" fontId="4" fillId="7" borderId="1" applyAlignment="1" pivotButton="0" quotePrefix="0" xfId="0">
      <alignment vertical="top" wrapText="1"/>
    </xf>
    <xf numFmtId="0" fontId="6" fillId="6" borderId="1" applyAlignment="1" pivotButton="0" quotePrefix="0" xfId="0">
      <alignment vertical="top" wrapText="1"/>
    </xf>
    <xf numFmtId="0" fontId="0" fillId="6" borderId="1" applyAlignment="1" pivotButton="0" quotePrefix="0" xfId="0">
      <alignment vertical="top" wrapText="1"/>
    </xf>
    <xf numFmtId="0" fontId="4" fillId="6"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vertical="top" wrapText="1"/>
    </xf>
    <xf numFmtId="0" fontId="4" fillId="9" borderId="1" applyAlignment="1" pivotButton="0" quotePrefix="0" xfId="0">
      <alignment vertical="top" wrapText="1"/>
    </xf>
    <xf numFmtId="0" fontId="3" fillId="5" borderId="1" pivotButton="0" quotePrefix="0" xfId="0"/>
    <xf numFmtId="49" fontId="4"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4" fillId="3" borderId="0" applyAlignment="1" pivotButton="0" quotePrefix="0" xfId="0">
      <alignment vertical="top" wrapText="1"/>
    </xf>
    <xf numFmtId="49" fontId="3" fillId="5" borderId="1" applyAlignment="1" pivotButton="0" quotePrefix="0" xfId="0">
      <alignment vertical="top" wrapText="1"/>
    </xf>
    <xf numFmtId="0" fontId="3" fillId="5" borderId="1" applyAlignment="1" pivotButton="0" quotePrefix="0" xfId="0">
      <alignment vertical="top" wrapText="1"/>
    </xf>
    <xf numFmtId="49" fontId="5" fillId="3" borderId="1"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36" customWidth="1" min="1" max="1"/>
    <col width="10" customWidth="1" min="2" max="2"/>
    <col width="10" customWidth="1" min="3" max="3"/>
    <col width="11" customWidth="1" min="4" max="4"/>
    <col width="12" customWidth="1" min="5" max="5"/>
    <col width="12" customWidth="1" min="6" max="6"/>
    <col width="14" customWidth="1" min="7" max="7"/>
  </cols>
  <sheetData>
    <row r="1" ht="24" customHeight="1">
      <c r="A1" s="1" t="inlineStr">
        <is>
          <t>PANEL — BOT DE TRADING · puerta del mes (GM): 1 de septiembre de 2026</t>
        </is>
      </c>
      <c r="B1" s="2" t="n"/>
      <c r="C1" s="2" t="n"/>
      <c r="D1" s="2" t="n"/>
      <c r="E1" s="2" t="n"/>
      <c r="F1" s="2" t="n"/>
      <c r="G1" s="2" t="n"/>
    </row>
    <row r="3" ht="28" customHeight="1">
      <c r="A3" s="3" t="inlineStr">
        <is>
          <t>FASE</t>
        </is>
      </c>
      <c r="B3" s="3" t="inlineStr">
        <is>
          <t>TAREAS</t>
        </is>
      </c>
      <c r="C3" s="3" t="inlineStr">
        <is>
          <t>HECHAS</t>
        </is>
      </c>
      <c r="D3" s="3" t="inlineStr">
        <is>
          <t>EN CURSO</t>
        </is>
      </c>
      <c r="E3" s="3" t="inlineStr">
        <is>
          <t>PENDIENTES</t>
        </is>
      </c>
      <c r="F3" s="3" t="inlineStr">
        <is>
          <t>BLOQUEADAS</t>
        </is>
      </c>
      <c r="G3" s="3" t="inlineStr">
        <is>
          <t>% AVANCE</t>
        </is>
      </c>
    </row>
    <row r="4">
      <c r="A4" s="4" t="inlineStr">
        <is>
          <t>01. Arranque</t>
        </is>
      </c>
      <c r="B4" s="5">
        <f>COUNTIFS(TAREAS!$A$5:$A$69,"01.??.??")</f>
        <v/>
      </c>
      <c r="C4" s="5">
        <f>COUNTIFS(TAREAS!$A$5:$A$69,"01.??.??",TAREAS!$E$5:$E$69,"Hecha")</f>
        <v/>
      </c>
      <c r="D4" s="5">
        <f>COUNTIFS(TAREAS!$A$5:$A$69,"01.??.??",TAREAS!$E$5:$E$69,"En curso")</f>
        <v/>
      </c>
      <c r="E4" s="5">
        <f>COUNTIFS(TAREAS!$A$5:$A$69,"01.??.??",TAREAS!$E$5:$E$69,"Pendiente")</f>
        <v/>
      </c>
      <c r="F4" s="5">
        <f>COUNTIFS(TAREAS!$A$5:$A$69,"01.??.??",TAREAS!$E$5:$E$69,"Bloqueada")</f>
        <v/>
      </c>
      <c r="G4" s="6">
        <f>IFERROR(C4/B4,0)</f>
        <v/>
      </c>
    </row>
    <row r="5">
      <c r="A5" s="4" t="inlineStr">
        <is>
          <t>02. Elegir mercado y tamaño de vela</t>
        </is>
      </c>
      <c r="B5" s="5">
        <f>COUNTIFS(TAREAS!$A$5:$A$69,"02.??.??")</f>
        <v/>
      </c>
      <c r="C5" s="5">
        <f>COUNTIFS(TAREAS!$A$5:$A$69,"02.??.??",TAREAS!$E$5:$E$69,"Hecha")</f>
        <v/>
      </c>
      <c r="D5" s="5">
        <f>COUNTIFS(TAREAS!$A$5:$A$69,"02.??.??",TAREAS!$E$5:$E$69,"En curso")</f>
        <v/>
      </c>
      <c r="E5" s="5">
        <f>COUNTIFS(TAREAS!$A$5:$A$69,"02.??.??",TAREAS!$E$5:$E$69,"Pendiente")</f>
        <v/>
      </c>
      <c r="F5" s="5">
        <f>COUNTIFS(TAREAS!$A$5:$A$69,"02.??.??",TAREAS!$E$5:$E$69,"Bloqueada")</f>
        <v/>
      </c>
      <c r="G5" s="6">
        <f>IFERROR(C5/B5,0)</f>
        <v/>
      </c>
    </row>
    <row r="6">
      <c r="A6" s="4" t="inlineStr">
        <is>
          <t>03. Montar la casa</t>
        </is>
      </c>
      <c r="B6" s="5">
        <f>COUNTIFS(TAREAS!$A$5:$A$69,"03.??.??")</f>
        <v/>
      </c>
      <c r="C6" s="5">
        <f>COUNTIFS(TAREAS!$A$5:$A$69,"03.??.??",TAREAS!$E$5:$E$69,"Hecha")</f>
        <v/>
      </c>
      <c r="D6" s="5">
        <f>COUNTIFS(TAREAS!$A$5:$A$69,"03.??.??",TAREAS!$E$5:$E$69,"En curso")</f>
        <v/>
      </c>
      <c r="E6" s="5">
        <f>COUNTIFS(TAREAS!$A$5:$A$69,"03.??.??",TAREAS!$E$5:$E$69,"Pendiente")</f>
        <v/>
      </c>
      <c r="F6" s="5">
        <f>COUNTIFS(TAREAS!$A$5:$A$69,"03.??.??",TAREAS!$E$5:$E$69,"Bloqueada")</f>
        <v/>
      </c>
      <c r="G6" s="6">
        <f>IFERROR(C6/B6,0)</f>
        <v/>
      </c>
    </row>
    <row r="7">
      <c r="A7" s="4" t="inlineStr">
        <is>
          <t>04. Hipótesis y validación</t>
        </is>
      </c>
      <c r="B7" s="5">
        <f>COUNTIFS(TAREAS!$A$5:$A$69,"04.??.??")</f>
        <v/>
      </c>
      <c r="C7" s="5">
        <f>COUNTIFS(TAREAS!$A$5:$A$69,"04.??.??",TAREAS!$E$5:$E$69,"Hecha")</f>
        <v/>
      </c>
      <c r="D7" s="5">
        <f>COUNTIFS(TAREAS!$A$5:$A$69,"04.??.??",TAREAS!$E$5:$E$69,"En curso")</f>
        <v/>
      </c>
      <c r="E7" s="5">
        <f>COUNTIFS(TAREAS!$A$5:$A$69,"04.??.??",TAREAS!$E$5:$E$69,"Pendiente")</f>
        <v/>
      </c>
      <c r="F7" s="5">
        <f>COUNTIFS(TAREAS!$A$5:$A$69,"04.??.??",TAREAS!$E$5:$E$69,"Bloqueada")</f>
        <v/>
      </c>
      <c r="G7" s="6">
        <f>IFERROR(C7/B7,0)</f>
        <v/>
      </c>
    </row>
    <row r="8">
      <c r="A8" s="4" t="inlineStr">
        <is>
          <t>05. Demo</t>
        </is>
      </c>
      <c r="B8" s="5">
        <f>COUNTIFS(TAREAS!$A$5:$A$69,"05.??.??")</f>
        <v/>
      </c>
      <c r="C8" s="5">
        <f>COUNTIFS(TAREAS!$A$5:$A$69,"05.??.??",TAREAS!$E$5:$E$69,"Hecha")</f>
        <v/>
      </c>
      <c r="D8" s="5">
        <f>COUNTIFS(TAREAS!$A$5:$A$69,"05.??.??",TAREAS!$E$5:$E$69,"En curso")</f>
        <v/>
      </c>
      <c r="E8" s="5">
        <f>COUNTIFS(TAREAS!$A$5:$A$69,"05.??.??",TAREAS!$E$5:$E$69,"Pendiente")</f>
        <v/>
      </c>
      <c r="F8" s="5">
        <f>COUNTIFS(TAREAS!$A$5:$A$69,"05.??.??",TAREAS!$E$5:$E$69,"Bloqueada")</f>
        <v/>
      </c>
      <c r="G8" s="6">
        <f>IFERROR(C8/B8,0)</f>
        <v/>
      </c>
    </row>
    <row r="9">
      <c r="A9" s="4" t="inlineStr">
        <is>
          <t>06. Real</t>
        </is>
      </c>
      <c r="B9" s="5">
        <f>COUNTIFS(TAREAS!$A$5:$A$69,"06.??.??")</f>
        <v/>
      </c>
      <c r="C9" s="5">
        <f>COUNTIFS(TAREAS!$A$5:$A$69,"06.??.??",TAREAS!$E$5:$E$69,"Hecha")</f>
        <v/>
      </c>
      <c r="D9" s="5">
        <f>COUNTIFS(TAREAS!$A$5:$A$69,"06.??.??",TAREAS!$E$5:$E$69,"En curso")</f>
        <v/>
      </c>
      <c r="E9" s="5">
        <f>COUNTIFS(TAREAS!$A$5:$A$69,"06.??.??",TAREAS!$E$5:$E$69,"Pendiente")</f>
        <v/>
      </c>
      <c r="F9" s="5">
        <f>COUNTIFS(TAREAS!$A$5:$A$69,"06.??.??",TAREAS!$E$5:$E$69,"Bloqueada")</f>
        <v/>
      </c>
      <c r="G9" s="6">
        <f>IFERROR(C9/B9,0)</f>
        <v/>
      </c>
    </row>
    <row r="10">
      <c r="A10" s="4" t="inlineStr">
        <is>
          <t>07. Motor y orden</t>
        </is>
      </c>
      <c r="B10" s="5">
        <f>COUNTIFS(TAREAS!$A$5:$A$69,"07.??.??")</f>
        <v/>
      </c>
      <c r="C10" s="5">
        <f>COUNTIFS(TAREAS!$A$5:$A$69,"07.??.??",TAREAS!$E$5:$E$69,"Hecha")</f>
        <v/>
      </c>
      <c r="D10" s="5">
        <f>COUNTIFS(TAREAS!$A$5:$A$69,"07.??.??",TAREAS!$E$5:$E$69,"En curso")</f>
        <v/>
      </c>
      <c r="E10" s="5">
        <f>COUNTIFS(TAREAS!$A$5:$A$69,"07.??.??",TAREAS!$E$5:$E$69,"Pendiente")</f>
        <v/>
      </c>
      <c r="F10" s="5">
        <f>COUNTIFS(TAREAS!$A$5:$A$69,"07.??.??",TAREAS!$E$5:$E$69,"Bloqueada")</f>
        <v/>
      </c>
      <c r="G10" s="6">
        <f>IFERROR(C10/B10,0)</f>
        <v/>
      </c>
    </row>
    <row r="11">
      <c r="A11" s="7" t="inlineStr">
        <is>
          <t>TOTAL PROYECTO</t>
        </is>
      </c>
      <c r="B11" s="8">
        <f>SUM(B4:B10)</f>
        <v/>
      </c>
      <c r="C11" s="8">
        <f>SUM(C4:C10)</f>
        <v/>
      </c>
      <c r="D11" s="8">
        <f>SUM(D4:D10)</f>
        <v/>
      </c>
      <c r="E11" s="8">
        <f>SUM(E4:E10)</f>
        <v/>
      </c>
      <c r="F11" s="8">
        <f>SUM(F4:F10)</f>
        <v/>
      </c>
      <c r="G11" s="9">
        <f>IFERROR(C11/B11,0)</f>
        <v/>
      </c>
    </row>
    <row r="13">
      <c r="A13" s="10" t="inlineStr">
        <is>
          <t>ESTADO DE HOY (leido de WBS.md)</t>
        </is>
      </c>
    </row>
    <row r="14" ht="28" customHeight="1">
      <c r="A14" s="3" t="inlineStr">
        <is>
          <t>CODIGO</t>
        </is>
      </c>
      <c r="B14" s="3" t="inlineStr">
        <is>
          <t>TAREA</t>
        </is>
      </c>
      <c r="C14" s="11" t="n"/>
      <c r="D14" s="11" t="n"/>
      <c r="E14" s="11" t="n"/>
      <c r="F14" s="12" t="n"/>
      <c r="G14" s="3" t="inlineStr">
        <is>
          <t>ESTADO</t>
        </is>
      </c>
    </row>
    <row r="15">
      <c r="A15" s="13" t="inlineStr">
        <is>
          <t>01.01.01</t>
        </is>
      </c>
      <c r="B15" s="4" t="inlineStr">
        <is>
          <t>Aprobar plan y reglas</t>
        </is>
      </c>
      <c r="C15" s="4" t="n"/>
      <c r="D15" s="4" t="n"/>
      <c r="E15" s="4" t="n"/>
      <c r="F15" s="4" t="n"/>
      <c r="G15" s="14" t="inlineStr">
        <is>
          <t>En curso</t>
        </is>
      </c>
    </row>
    <row r="16">
      <c r="A16" s="13" t="inlineStr">
        <is>
          <t>01.02.03</t>
        </is>
      </c>
      <c r="B16" s="4" t="inlineStr">
        <is>
          <t>Auditar el catálogo awesome-claude-code y, por ampliación del CEO (01/08), las fuentes oficiales de Anthropic y los mecanismos nativos de Claude Code; proponer máximo 4 piezas concretas para el motor, con motivo y coste de integración. Carril de motor: cuenta contra el 20% y se limita a 1 tirada</t>
        </is>
      </c>
      <c r="C16" s="4" t="n"/>
      <c r="D16" s="4" t="n"/>
      <c r="E16" s="4" t="n"/>
      <c r="F16" s="4" t="n"/>
      <c r="G16" s="14" t="inlineStr">
        <is>
          <t>En curso</t>
        </is>
      </c>
    </row>
    <row r="17">
      <c r="A17" s="13" t="inlineStr">
        <is>
          <t>01.02.04</t>
        </is>
      </c>
      <c r="B17" s="4" t="inlineStr">
        <is>
          <t>NUEVA 01/08 (petición del CEO): evaluar si merece la pena añadir servidores MCP al proyecto, con veredicto por servidor y regla de admisión escrita para el futuro. Carril de motor: cuenta contra el 20% y se limita a 1 tirada</t>
        </is>
      </c>
      <c r="C17" s="4" t="n"/>
      <c r="D17" s="4" t="n"/>
      <c r="E17" s="4" t="n"/>
      <c r="F17" s="4" t="n"/>
      <c r="G17" s="14" t="inlineStr">
        <is>
          <t>En curso</t>
        </is>
      </c>
    </row>
    <row r="18">
      <c r="A18" s="13" t="inlineStr">
        <is>
          <t>02.03.01</t>
        </is>
      </c>
      <c r="B18" s="4" t="inlineStr">
        <is>
          <t>Revisión independiente de método, fuentes y números</t>
        </is>
      </c>
      <c r="C18" s="4" t="n"/>
      <c r="D18" s="4" t="n"/>
      <c r="E18" s="4" t="n"/>
      <c r="F18" s="4" t="n"/>
      <c r="G18" s="14" t="inlineStr">
        <is>
          <t>En curso</t>
        </is>
      </c>
    </row>
    <row r="19">
      <c r="A19" s="13" t="inlineStr">
        <is>
          <t>03.01.08</t>
        </is>
      </c>
      <c r="B19" s="4" t="inlineStr">
        <is>
          <t>Prueba de fuego de las barreras (regla 25 de CLAUDE.md): inyectar cada caso prohibido —leer el cajón reservado, escribir fuera del proyecto, borrar datos, gastar dinero— y comprobar que se bloquea de verdad. Lo que no se bloquee se marca "no verificada"</t>
        </is>
      </c>
      <c r="C19" s="4" t="n"/>
      <c r="D19" s="4" t="n"/>
      <c r="E19" s="4" t="n"/>
      <c r="F19" s="4" t="n"/>
      <c r="G19" s="14" t="inlineStr">
        <is>
          <t>En curso</t>
        </is>
      </c>
    </row>
    <row r="20">
      <c r="A20" s="13" t="inlineStr">
        <is>
          <t>03.01.11</t>
        </is>
      </c>
      <c r="B20" s="4" t="inlineStr">
        <is>
          <t>NUEVA 31/07 (D-10): guardia del cajon reservado por cifrado. Script cajon_reservado.py: la contraseña solo la tiene el CEO, no se guarda, se pide en cada operacion y nada se descifra a disco</t>
        </is>
      </c>
      <c r="C20" s="4" t="n"/>
      <c r="D20" s="4" t="n"/>
      <c r="E20" s="4" t="n"/>
      <c r="F20" s="4" t="n"/>
      <c r="G20" s="14" t="inlineStr">
        <is>
          <t>En curso</t>
        </is>
      </c>
    </row>
    <row r="22">
      <c r="A22" s="15" t="inlineStr">
        <is>
          <t>PROXIMA PUERTA</t>
        </is>
      </c>
      <c r="B22" s="16" t="inlineStr">
        <is>
          <t>G1 — elegir mercado y tamaño de vela (criterios en la hoja PUERTAS)</t>
        </is>
      </c>
    </row>
    <row r="23">
      <c r="A23" s="15" t="inlineStr">
        <is>
          <t>OBJETIVO DEL MES</t>
        </is>
      </c>
      <c r="B23" s="16" t="inlineStr">
        <is>
          <t>Llegar al 1 de septiembre con respuesta a: ¿existe alguna estrategia que merezca pasar a demo?</t>
        </is>
      </c>
    </row>
    <row r="24">
      <c r="A24" s="15" t="inlineStr">
        <is>
          <t>FUENTE DE VERDAD</t>
        </is>
      </c>
      <c r="B24" s="16" t="inlineStr">
        <is>
          <t>00-direccion/WBS.md — este Excel se genera de ahi. Si discrepan, manda el texto.</t>
        </is>
      </c>
    </row>
    <row r="28">
      <c r="A28" s="15" t="inlineStr">
        <is>
          <t>LEYENDA</t>
        </is>
      </c>
    </row>
    <row r="29">
      <c r="A29" s="17" t="inlineStr">
        <is>
          <t>Hecha</t>
        </is>
      </c>
    </row>
    <row r="30">
      <c r="A30" s="18" t="inlineStr">
        <is>
          <t>En curso</t>
        </is>
      </c>
    </row>
    <row r="31">
      <c r="A31" s="19" t="inlineStr">
        <is>
          <t>Pendiente</t>
        </is>
      </c>
    </row>
    <row r="32">
      <c r="A32" s="20" t="inlineStr">
        <is>
          <t>Bloqueada</t>
        </is>
      </c>
    </row>
  </sheetData>
  <mergeCells count="11">
    <mergeCell ref="B24:G24"/>
    <mergeCell ref="A1:G1"/>
    <mergeCell ref="B16:F16"/>
    <mergeCell ref="B20:F20"/>
    <mergeCell ref="B15:F15"/>
    <mergeCell ref="B22:G22"/>
    <mergeCell ref="B23:G23"/>
    <mergeCell ref="B19:F19"/>
    <mergeCell ref="B14:F14"/>
    <mergeCell ref="B17:F17"/>
    <mergeCell ref="B18:F18"/>
  </mergeCells>
  <conditionalFormatting sqref="G4:G11">
    <cfRule type="dataBar" priority="1">
      <dataBar showValue="1">
        <cfvo type="num" val="0"/>
        <cfvo type="num" val="1"/>
        <color rgb="004472C4"/>
      </dataBar>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4"/>
  <sheetViews>
    <sheetView workbookViewId="0">
      <pane ySplit="8" topLeftCell="A9" activePane="bottomLeft" state="frozen"/>
      <selection pane="bottomLeft" activeCell="A1" sqref="A1"/>
    </sheetView>
  </sheetViews>
  <sheetFormatPr baseColWidth="8" defaultRowHeight="15"/>
  <cols>
    <col width="8" customWidth="1" min="1" max="1"/>
    <col width="11" customWidth="1" min="2" max="2"/>
    <col width="56" customWidth="1" min="3" max="3"/>
    <col width="21" customWidth="1" min="4" max="4"/>
    <col width="11" customWidth="1" min="5" max="5"/>
    <col width="12" customWidth="1" min="6" max="6"/>
    <col width="12" customWidth="1" min="7" max="7"/>
    <col width="11" customWidth="1" min="8" max="8"/>
    <col width="42" customWidth="1" min="9" max="9"/>
  </cols>
  <sheetData>
    <row r="1" ht="24" customHeight="1">
      <c r="A1" s="1" t="inlineStr">
        <is>
          <t>QUE SE HACE AHORA Y EN QUE ORDEN</t>
        </is>
      </c>
      <c r="B1" s="2" t="n"/>
      <c r="C1" s="2" t="n"/>
      <c r="D1" s="2" t="n"/>
      <c r="E1" s="2" t="n"/>
      <c r="F1" s="2" t="n"/>
      <c r="G1" s="2" t="n"/>
      <c r="H1" s="2" t="n"/>
      <c r="I1" s="2" t="n"/>
    </row>
    <row r="2">
      <c r="A2" s="21" t="inlineStr">
        <is>
          <t>Orden calculado de WBS.md: (1) una tarea entra en la cola cuando TODAS sus dependencias estan hechas; (2) primero lo ya empezado; (3) despues el PRODUCTO antes que el MOTOR (regla 12: el motor no manda); (4) a igualdad, orden de codigo WBS (regla 4). MOTOR = fases 03 y 07 y lo que su texto marque como tal. DESBLOQUEA = tareas vivas que la esperan directamente · EN CADENA = todas las que quedan detras contando el efecto domino.</t>
        </is>
      </c>
      <c r="B2" s="22" t="n"/>
      <c r="C2" s="22" t="n"/>
      <c r="D2" s="22" t="n"/>
      <c r="E2" s="22" t="n"/>
      <c r="F2" s="22" t="n"/>
      <c r="G2" s="22" t="n"/>
      <c r="H2" s="22" t="n"/>
      <c r="I2" s="22" t="n"/>
    </row>
    <row r="4" ht="34" customHeight="1">
      <c r="A4" s="23" t="inlineStr">
        <is>
          <t>AHORA — EQUIPO</t>
        </is>
      </c>
      <c r="B4" s="24" t="n"/>
      <c r="C4" s="25" t="inlineStr">
        <is>
          <t>02.03.01 — Revisión independiente de método, fuentes y números</t>
        </is>
      </c>
      <c r="D4" s="24" t="n"/>
      <c r="E4" s="24" t="n"/>
      <c r="F4" s="24" t="n"/>
      <c r="G4" s="24" t="n"/>
      <c r="H4" s="24" t="n"/>
      <c r="I4" s="25" t="inlineStr">
        <is>
          <t>Orquestador</t>
        </is>
      </c>
    </row>
    <row r="5" ht="34" customHeight="1">
      <c r="A5" s="26" t="inlineStr">
        <is>
          <t>AHORA — CEO</t>
        </is>
      </c>
      <c r="B5" s="27" t="n"/>
      <c r="C5" s="28" t="inlineStr">
        <is>
          <t>01.01.01 — Aprobar plan y reglas</t>
        </is>
      </c>
      <c r="D5" s="27" t="n"/>
      <c r="E5" s="27" t="n"/>
      <c r="F5" s="27" t="n"/>
      <c r="G5" s="27" t="n"/>
      <c r="H5" s="27" t="n"/>
      <c r="I5" s="28" t="inlineStr">
        <is>
          <t>CEO</t>
        </is>
      </c>
    </row>
    <row r="6" ht="34" customHeight="1">
      <c r="A6" s="29" t="inlineStr">
        <is>
          <t>CUELLO DE BOTELLA</t>
        </is>
      </c>
      <c r="B6" s="30" t="n"/>
      <c r="C6" s="31" t="inlineStr">
        <is>
          <t>02.03.01 — Revisión independiente de método, fuentes y números. Detras de ella esperan 18 de las 42 tareas vivas.</t>
        </is>
      </c>
      <c r="D6" s="30" t="n"/>
      <c r="E6" s="30" t="n"/>
      <c r="F6" s="30" t="n"/>
      <c r="G6" s="30" t="n"/>
      <c r="H6" s="30" t="n"/>
      <c r="I6" s="31" t="inlineStr">
        <is>
          <t>Orquestador</t>
        </is>
      </c>
    </row>
    <row r="8" ht="28" customHeight="1">
      <c r="A8" s="3" t="inlineStr">
        <is>
          <t>ORDEN</t>
        </is>
      </c>
      <c r="B8" s="3" t="inlineStr">
        <is>
          <t>CODIGO</t>
        </is>
      </c>
      <c r="C8" s="3" t="inlineStr">
        <is>
          <t>QUE HAY QUE HACER</t>
        </is>
      </c>
      <c r="D8" s="3" t="inlineStr">
        <is>
          <t>QUIEN</t>
        </is>
      </c>
      <c r="E8" s="3" t="inlineStr">
        <is>
          <t>CARRIL</t>
        </is>
      </c>
      <c r="F8" s="3" t="inlineStr">
        <is>
          <t>ESTADO</t>
        </is>
      </c>
      <c r="G8" s="3" t="inlineStr">
        <is>
          <t>DESBLOQUEA</t>
        </is>
      </c>
      <c r="H8" s="3" t="inlineStr">
        <is>
          <t>EN CADENA</t>
        </is>
      </c>
      <c r="I8" s="3" t="inlineStr">
        <is>
          <t>QUE FALTA PARA PODER EMPEZARLA</t>
        </is>
      </c>
    </row>
    <row r="9">
      <c r="A9" s="32" t="inlineStr">
        <is>
          <t>SE PUEDE TRABAJAR YA — 17 tareas, en este orden</t>
        </is>
      </c>
      <c r="B9" s="32" t="n"/>
      <c r="C9" s="32" t="n"/>
      <c r="D9" s="32" t="n"/>
      <c r="E9" s="32" t="n"/>
      <c r="F9" s="32" t="n"/>
      <c r="G9" s="32" t="n"/>
      <c r="H9" s="32" t="n"/>
      <c r="I9" s="32" t="n"/>
    </row>
    <row r="10">
      <c r="A10" s="5" t="n">
        <v>1</v>
      </c>
      <c r="B10" s="33" t="inlineStr">
        <is>
          <t>01.01.01</t>
        </is>
      </c>
      <c r="C10" s="4" t="inlineStr">
        <is>
          <t>Aprobar plan y reglas</t>
        </is>
      </c>
      <c r="D10" s="28" t="inlineStr">
        <is>
          <t>CEO</t>
        </is>
      </c>
      <c r="E10" s="5" t="inlineStr">
        <is>
          <t>PRODUCTO</t>
        </is>
      </c>
      <c r="F10" s="14" t="inlineStr">
        <is>
          <t>En curso</t>
        </is>
      </c>
      <c r="G10" s="5" t="inlineStr"/>
      <c r="H10" s="5" t="inlineStr"/>
      <c r="I10" s="4" t="inlineStr">
        <is>
          <t>nada: se puede empezar ya</t>
        </is>
      </c>
    </row>
    <row r="11">
      <c r="A11" s="5" t="n">
        <v>2</v>
      </c>
      <c r="B11" s="33" t="inlineStr">
        <is>
          <t>02.03.01</t>
        </is>
      </c>
      <c r="C11" s="4" t="inlineStr">
        <is>
          <t>Revisión independiente de método, fuentes y números</t>
        </is>
      </c>
      <c r="D11" s="4" t="inlineStr">
        <is>
          <t>Orquestador</t>
        </is>
      </c>
      <c r="E11" s="5" t="inlineStr">
        <is>
          <t>PRODUCTO</t>
        </is>
      </c>
      <c r="F11" s="14" t="inlineStr">
        <is>
          <t>En curso</t>
        </is>
      </c>
      <c r="G11" s="5" t="n">
        <v>1</v>
      </c>
      <c r="H11" s="5" t="n">
        <v>18</v>
      </c>
      <c r="I11" s="4" t="inlineStr">
        <is>
          <t>nada: se puede empezar ya</t>
        </is>
      </c>
    </row>
    <row r="12">
      <c r="A12" s="5" t="n">
        <v>3</v>
      </c>
      <c r="B12" s="33" t="inlineStr">
        <is>
          <t>01.02.03</t>
        </is>
      </c>
      <c r="C12" s="4" t="inlineStr">
        <is>
          <t>Auditar el catálogo awesome-claude-code y, por ampliación del CEO (01/08), las fuentes oficiales de Anthropic y los mecanismos nativos de Claude Code; proponer máximo 4 piezas concretas para el motor, con motivo y coste de integración. Carril de motor: cuenta contra el 20% y se limita a 1 tirada</t>
        </is>
      </c>
      <c r="D12" s="4" t="inlineStr">
        <is>
          <t>Investigador</t>
        </is>
      </c>
      <c r="E12" s="34" t="inlineStr">
        <is>
          <t>MOTOR</t>
        </is>
      </c>
      <c r="F12" s="14" t="inlineStr">
        <is>
          <t>En curso</t>
        </is>
      </c>
      <c r="G12" s="5" t="inlineStr"/>
      <c r="H12" s="5" t="inlineStr"/>
      <c r="I12" s="4" t="inlineStr">
        <is>
          <t>nada: se puede empezar ya</t>
        </is>
      </c>
    </row>
    <row r="13">
      <c r="A13" s="5" t="n">
        <v>4</v>
      </c>
      <c r="B13" s="33" t="inlineStr">
        <is>
          <t>01.02.04</t>
        </is>
      </c>
      <c r="C13" s="4" t="inlineStr">
        <is>
          <t>NUEVA 01/08 (petición del CEO): evaluar si merece la pena añadir servidores MCP al proyecto, con veredicto por servidor y regla de admisión escrita para el futuro. Carril de motor: cuenta contra el 20% y se limita a 1 tirada</t>
        </is>
      </c>
      <c r="D13" s="4" t="inlineStr">
        <is>
          <t>Investigador</t>
        </is>
      </c>
      <c r="E13" s="34" t="inlineStr">
        <is>
          <t>MOTOR</t>
        </is>
      </c>
      <c r="F13" s="14" t="inlineStr">
        <is>
          <t>En curso</t>
        </is>
      </c>
      <c r="G13" s="5" t="inlineStr"/>
      <c r="H13" s="5" t="inlineStr"/>
      <c r="I13" s="4" t="inlineStr">
        <is>
          <t>nada: se puede empezar ya</t>
        </is>
      </c>
    </row>
    <row r="14">
      <c r="A14" s="5" t="n">
        <v>5</v>
      </c>
      <c r="B14" s="33" t="inlineStr">
        <is>
          <t>01.02.02</t>
        </is>
      </c>
      <c r="C14" s="4" t="inlineStr">
        <is>
          <t>Trasplante pieza a pieza desde gb2 (D6=B). Una tarea por pieza, cada una con su criterio de aceptación (ver sección Trasplante). Ninguna entra sin pasar su prueba ejecutada</t>
        </is>
      </c>
      <c r="D14" s="4" t="inlineStr">
        <is>
          <t>Crítico + Constructores</t>
        </is>
      </c>
      <c r="E14" s="5" t="inlineStr">
        <is>
          <t>PRODUCTO</t>
        </is>
      </c>
      <c r="F14" s="5" t="inlineStr">
        <is>
          <t>Pendiente</t>
        </is>
      </c>
      <c r="G14" s="5" t="inlineStr"/>
      <c r="H14" s="5" t="inlineStr"/>
      <c r="I14" s="4" t="inlineStr">
        <is>
          <t>nada: se puede empezar ya</t>
        </is>
      </c>
    </row>
    <row r="15">
      <c r="A15" s="5" t="n">
        <v>6</v>
      </c>
      <c r="B15" s="33" t="inlineStr">
        <is>
          <t>02.01.01</t>
        </is>
      </c>
      <c r="C15" s="4" t="inlineStr">
        <is>
          <t>Confirmar 8 candidatos: EURUSD, GBPUSD, USDJPY, AUDUSD, USDCHF, XAUUSD, BTC, ETH</t>
        </is>
      </c>
      <c r="D15" s="28" t="inlineStr">
        <is>
          <t>CEO + Orquestador</t>
        </is>
      </c>
      <c r="E15" s="5" t="inlineStr">
        <is>
          <t>PRODUCTO</t>
        </is>
      </c>
      <c r="F15" s="5" t="inlineStr">
        <is>
          <t>Pendiente</t>
        </is>
      </c>
      <c r="G15" s="5" t="inlineStr"/>
      <c r="H15" s="5" t="inlineStr"/>
      <c r="I15" s="4" t="inlineStr">
        <is>
          <t>nada: se puede empezar ya</t>
        </is>
      </c>
    </row>
    <row r="16">
      <c r="A16" s="5" t="n">
        <v>7</v>
      </c>
      <c r="B16" s="33" t="inlineStr">
        <is>
          <t>04.02.01</t>
        </is>
      </c>
      <c r="C16" s="4" t="inlineStr">
        <is>
          <t>Barrido de fuentes: papers, libros, foros, GitHub, X. Regla: mínimo 2 fuentes independientes verificables por idea; vendedores de cursos/señales no son fuente</t>
        </is>
      </c>
      <c r="D16" s="4" t="inlineStr">
        <is>
          <t>Investigador</t>
        </is>
      </c>
      <c r="E16" s="5" t="inlineStr">
        <is>
          <t>PRODUCTO</t>
        </is>
      </c>
      <c r="F16" s="5" t="inlineStr">
        <is>
          <t>Pendiente</t>
        </is>
      </c>
      <c r="G16" s="5" t="n">
        <v>1</v>
      </c>
      <c r="H16" s="5" t="n">
        <v>16</v>
      </c>
      <c r="I16" s="4" t="inlineStr">
        <is>
          <t>nada: se puede empezar ya</t>
        </is>
      </c>
    </row>
    <row r="17">
      <c r="A17" s="5" t="n">
        <v>8</v>
      </c>
      <c r="B17" s="33" t="inlineStr">
        <is>
          <t>03.01.03</t>
        </is>
      </c>
      <c r="C17" s="4" t="inlineStr">
        <is>
          <t>Ejecución desatendida: arranques programados, permisos AMPLIOS por defecto (git como red de seguridad) y topes de gasto</t>
        </is>
      </c>
      <c r="D17" s="4" t="inlineStr">
        <is>
          <t>Constructores</t>
        </is>
      </c>
      <c r="E17" s="34" t="inlineStr">
        <is>
          <t>MOTOR</t>
        </is>
      </c>
      <c r="F17" s="5" t="inlineStr">
        <is>
          <t>Pendiente</t>
        </is>
      </c>
      <c r="G17" s="5" t="n">
        <v>2</v>
      </c>
      <c r="H17" s="5" t="n">
        <v>3</v>
      </c>
      <c r="I17" s="4" t="inlineStr">
        <is>
          <t>nada: se puede empezar ya</t>
        </is>
      </c>
    </row>
    <row r="18">
      <c r="A18" s="5" t="n">
        <v>9</v>
      </c>
      <c r="B18" s="33" t="inlineStr">
        <is>
          <t>03.01.04</t>
        </is>
      </c>
      <c r="C18" s="4" t="inlineStr">
        <is>
          <t>Plan de respaldo de modelos: si un modelo no está disponible o rechaza, el agente sigue con su respaldo y lo anota</t>
        </is>
      </c>
      <c r="D18" s="4" t="inlineStr">
        <is>
          <t>Constructores</t>
        </is>
      </c>
      <c r="E18" s="34" t="inlineStr">
        <is>
          <t>MOTOR</t>
        </is>
      </c>
      <c r="F18" s="5" t="inlineStr">
        <is>
          <t>Pendiente</t>
        </is>
      </c>
      <c r="G18" s="5" t="n">
        <v>1</v>
      </c>
      <c r="H18" s="5" t="n">
        <v>1</v>
      </c>
      <c r="I18" s="4" t="inlineStr">
        <is>
          <t>nada: se puede empezar ya</t>
        </is>
      </c>
    </row>
    <row r="19">
      <c r="A19" s="5" t="n">
        <v>10</v>
      </c>
      <c r="B19" s="33" t="inlineStr">
        <is>
          <t>03.01.06</t>
        </is>
      </c>
      <c r="C19" s="4" t="inlineStr">
        <is>
          <t>Plantilla y automatismo de fichas de decisión: el secretario prepara cada decisión del CEO en el formato obligatorio y la adjunta al informe semanal</t>
        </is>
      </c>
      <c r="D19" s="4" t="inlineStr">
        <is>
          <t>Secretario</t>
        </is>
      </c>
      <c r="E19" s="34" t="inlineStr">
        <is>
          <t>MOTOR</t>
        </is>
      </c>
      <c r="F19" s="5" t="inlineStr">
        <is>
          <t>Pendiente</t>
        </is>
      </c>
      <c r="G19" s="5" t="n">
        <v>1</v>
      </c>
      <c r="H19" s="5" t="n">
        <v>1</v>
      </c>
      <c r="I19" s="4" t="inlineStr">
        <is>
          <t>nada: se puede empezar ya</t>
        </is>
      </c>
    </row>
    <row r="20">
      <c r="A20" s="5" t="n">
        <v>11</v>
      </c>
      <c r="B20" s="33" t="inlineStr">
        <is>
          <t>03.01.09</t>
        </is>
      </c>
      <c r="C20" s="4" t="inlineStr">
        <is>
          <t>Enrutado por tipo de tarea y comprobación de que el WBS genera tareas de cada tipo de agente (ver L-010 de LECCIONES.md; sin número propio en CLAUDE.md)</t>
        </is>
      </c>
      <c r="D20" s="4" t="inlineStr">
        <is>
          <t>Constructores</t>
        </is>
      </c>
      <c r="E20" s="34" t="inlineStr">
        <is>
          <t>MOTOR</t>
        </is>
      </c>
      <c r="F20" s="5" t="inlineStr">
        <is>
          <t>Pendiente</t>
        </is>
      </c>
      <c r="G20" s="5" t="inlineStr"/>
      <c r="H20" s="5" t="inlineStr"/>
      <c r="I20" s="4" t="inlineStr">
        <is>
          <t>nada: se puede empezar ya</t>
        </is>
      </c>
    </row>
    <row r="21">
      <c r="A21" s="5" t="n">
        <v>12</v>
      </c>
      <c r="B21" s="33" t="inlineStr">
        <is>
          <t>03.01.10</t>
        </is>
      </c>
      <c r="C21" s="4" t="inlineStr">
        <is>
          <t>Testbed sintético de invarianza: resultado de referencia fijo que debe reproducirse tras cualquier cambio del motor</t>
        </is>
      </c>
      <c r="D21" s="4" t="inlineStr">
        <is>
          <t>Constructores</t>
        </is>
      </c>
      <c r="E21" s="34" t="inlineStr">
        <is>
          <t>MOTOR</t>
        </is>
      </c>
      <c r="F21" s="5" t="inlineStr">
        <is>
          <t>Pendiente</t>
        </is>
      </c>
      <c r="G21" s="5" t="inlineStr"/>
      <c r="H21" s="5" t="inlineStr"/>
      <c r="I21" s="4" t="inlineStr">
        <is>
          <t>nada: se puede empezar ya</t>
        </is>
      </c>
    </row>
    <row r="22">
      <c r="A22" s="5" t="n">
        <v>13</v>
      </c>
      <c r="B22" s="33" t="inlineStr">
        <is>
          <t>03.01.12</t>
        </is>
      </c>
      <c r="C22" s="4" t="inlineStr">
        <is>
          <t>NUEVA 01/08 (petición del CEO): fijar la estrategia de ramas de git. Criterio del CEO, literal: que dé agilidad, no complejidad</t>
        </is>
      </c>
      <c r="D22" s="4" t="inlineStr">
        <is>
          <t>Constructores</t>
        </is>
      </c>
      <c r="E22" s="34" t="inlineStr">
        <is>
          <t>MOTOR</t>
        </is>
      </c>
      <c r="F22" s="5" t="inlineStr">
        <is>
          <t>Pendiente</t>
        </is>
      </c>
      <c r="G22" s="5" t="inlineStr"/>
      <c r="H22" s="5" t="inlineStr"/>
      <c r="I22" s="4" t="inlineStr">
        <is>
          <t>nada: se puede empezar ya</t>
        </is>
      </c>
    </row>
    <row r="23">
      <c r="A23" s="5" t="n">
        <v>14</v>
      </c>
      <c r="B23" s="33" t="inlineStr">
        <is>
          <t>03.01.14</t>
        </is>
      </c>
      <c r="C23"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D23" s="4" t="inlineStr">
        <is>
          <t>Constructores</t>
        </is>
      </c>
      <c r="E23" s="34" t="inlineStr">
        <is>
          <t>MOTOR</t>
        </is>
      </c>
      <c r="F23" s="5" t="inlineStr">
        <is>
          <t>Pendiente</t>
        </is>
      </c>
      <c r="G23" s="5" t="inlineStr"/>
      <c r="H23" s="5" t="inlineStr"/>
      <c r="I23" s="4" t="inlineStr">
        <is>
          <t>nada: se puede empezar ya</t>
        </is>
      </c>
    </row>
    <row r="24">
      <c r="A24" s="5" t="n">
        <v>15</v>
      </c>
      <c r="B24" s="33" t="inlineStr">
        <is>
          <t>03.01.15</t>
        </is>
      </c>
      <c r="C24" s="4" t="inlineStr">
        <is>
          <t>Herramientas del secretario: puede escribir los registros que solo admiten añadir pero no puede verificarlos</t>
        </is>
      </c>
      <c r="D24" s="4" t="inlineStr">
        <is>
          <t>Constructores</t>
        </is>
      </c>
      <c r="E24" s="34" t="inlineStr">
        <is>
          <t>MOTOR</t>
        </is>
      </c>
      <c r="F24" s="5" t="inlineStr">
        <is>
          <t>Pendiente</t>
        </is>
      </c>
      <c r="G24" s="5" t="inlineStr"/>
      <c r="H24" s="5" t="inlineStr"/>
      <c r="I24" s="4" t="inlineStr">
        <is>
          <t>nada: se puede empezar ya</t>
        </is>
      </c>
    </row>
    <row r="25">
      <c r="A25" s="5" t="n">
        <v>16</v>
      </c>
      <c r="B25" s="33" t="inlineStr">
        <is>
          <t>07.01.01</t>
        </is>
      </c>
      <c r="C25" s="4" t="inlineStr">
        <is>
          <t>Carpetas y documentos en orden; una fuente de verdad por tema; lo sustituido se borra</t>
        </is>
      </c>
      <c r="D25" s="4" t="inlineStr">
        <is>
          <t>Constructores</t>
        </is>
      </c>
      <c r="E25" s="34" t="inlineStr">
        <is>
          <t>MOTOR</t>
        </is>
      </c>
      <c r="F25" s="5" t="inlineStr">
        <is>
          <t>Pendiente</t>
        </is>
      </c>
      <c r="G25" s="5" t="inlineStr"/>
      <c r="H25" s="5" t="inlineStr"/>
      <c r="I25" s="4" t="inlineStr">
        <is>
          <t>nada: se puede empezar ya</t>
        </is>
      </c>
    </row>
    <row r="26">
      <c r="A26" s="5" t="n">
        <v>17</v>
      </c>
      <c r="B26" s="33" t="inlineStr">
        <is>
          <t>07.01.02</t>
        </is>
      </c>
      <c r="C26" s="4" t="inlineStr">
        <is>
          <t>Mejoras del motor: SOLO tareas aprobadas en revisión semanal (el motor no manda)</t>
        </is>
      </c>
      <c r="D26" s="4" t="inlineStr">
        <is>
          <t>Constructores</t>
        </is>
      </c>
      <c r="E26" s="34" t="inlineStr">
        <is>
          <t>MOTOR</t>
        </is>
      </c>
      <c r="F26" s="5" t="inlineStr">
        <is>
          <t>Pendiente</t>
        </is>
      </c>
      <c r="G26" s="5" t="inlineStr"/>
      <c r="H26" s="5" t="inlineStr"/>
      <c r="I26" s="4" t="inlineStr">
        <is>
          <t>nada: se puede empezar ya</t>
        </is>
      </c>
    </row>
    <row r="27">
      <c r="A27" s="32" t="inlineStr">
        <is>
          <t>ESPERANDO A OTRA TAREA — 25 tareas, en orden de codigo WBS</t>
        </is>
      </c>
      <c r="B27" s="32" t="n"/>
      <c r="C27" s="32" t="n"/>
      <c r="D27" s="32" t="n"/>
      <c r="E27" s="32" t="n"/>
      <c r="F27" s="32" t="n"/>
      <c r="G27" s="32" t="n"/>
      <c r="H27" s="32" t="n"/>
      <c r="I27" s="32" t="n"/>
    </row>
    <row r="28">
      <c r="A28" s="5" t="inlineStr">
        <is>
          <t>—</t>
        </is>
      </c>
      <c r="B28" s="33" t="inlineStr">
        <is>
          <t>02.03.02</t>
        </is>
      </c>
      <c r="C28" s="4" t="inlineStr">
        <is>
          <t>Informe de decisión: 3-5 mercados poco correlacionados + 1-2 velas</t>
        </is>
      </c>
      <c r="D28" s="4" t="inlineStr">
        <is>
          <t>Orquestador</t>
        </is>
      </c>
      <c r="E28" s="5" t="inlineStr">
        <is>
          <t>PRODUCTO</t>
        </is>
      </c>
      <c r="F28" s="5" t="inlineStr">
        <is>
          <t>Pendiente</t>
        </is>
      </c>
      <c r="G28" s="5" t="n">
        <v>1</v>
      </c>
      <c r="H28" s="5" t="n">
        <v>17</v>
      </c>
      <c r="I28" s="4" t="inlineStr">
        <is>
          <t>02.03.01 (en curso, Orquestador)</t>
        </is>
      </c>
    </row>
    <row r="29">
      <c r="A29" s="5" t="inlineStr">
        <is>
          <t>—</t>
        </is>
      </c>
      <c r="B29" s="33" t="inlineStr">
        <is>
          <t>02.03.03</t>
        </is>
      </c>
      <c r="C29" s="4" t="inlineStr">
        <is>
          <t>PUERTA G1: el CEO elige</t>
        </is>
      </c>
      <c r="D29" s="28" t="inlineStr">
        <is>
          <t>CEO</t>
        </is>
      </c>
      <c r="E29" s="5" t="inlineStr">
        <is>
          <t>PRODUCTO</t>
        </is>
      </c>
      <c r="F29" s="5" t="inlineStr">
        <is>
          <t>Pendiente</t>
        </is>
      </c>
      <c r="G29" s="5" t="n">
        <v>1</v>
      </c>
      <c r="H29" s="5" t="n">
        <v>16</v>
      </c>
      <c r="I29" s="4" t="inlineStr">
        <is>
          <t>02.03.02 (pendiente, Orquestador)</t>
        </is>
      </c>
    </row>
    <row r="30">
      <c r="A30" s="5" t="inlineStr">
        <is>
          <t>—</t>
        </is>
      </c>
      <c r="B30" s="33" t="inlineStr">
        <is>
          <t>03.01.05</t>
        </is>
      </c>
      <c r="C30" s="4" t="inlineStr">
        <is>
          <t>PRUEBA REAL DEL MOTOR: un día entero de trabajo desatendido de verdad antes de dar la fase por buena</t>
        </is>
      </c>
      <c r="D30" s="4" t="inlineStr">
        <is>
          <t>Orquestador</t>
        </is>
      </c>
      <c r="E30" s="34" t="inlineStr">
        <is>
          <t>MOTOR</t>
        </is>
      </c>
      <c r="F30" s="5" t="inlineStr">
        <is>
          <t>Pendiente</t>
        </is>
      </c>
      <c r="G30" s="5" t="inlineStr"/>
      <c r="H30" s="5" t="inlineStr"/>
      <c r="I30" s="4" t="inlineStr">
        <is>
          <t>03.01.03 (pendiente, Constructores), 03.01.04 (pendiente, Constructores)</t>
        </is>
      </c>
    </row>
    <row r="31">
      <c r="A31" s="5" t="inlineStr">
        <is>
          <t>—</t>
        </is>
      </c>
      <c r="B31" s="33" t="inlineStr">
        <is>
          <t>03.01.07</t>
        </is>
      </c>
      <c r="C31" s="4" t="inlineStr">
        <is>
          <t>Cola de aprobación del CEO: tabla con desplegable Aprobado / Saltar / Corregir y columna de corrección. Lo aprobado se ejecuta solo; lo corregido se rehace Y la corrección se guarda en LECCIONES.md</t>
        </is>
      </c>
      <c r="D31" s="4" t="inlineStr">
        <is>
          <t>Secretario</t>
        </is>
      </c>
      <c r="E31" s="34" t="inlineStr">
        <is>
          <t>MOTOR</t>
        </is>
      </c>
      <c r="F31" s="5" t="inlineStr">
        <is>
          <t>Pendiente</t>
        </is>
      </c>
      <c r="G31" s="5" t="inlineStr"/>
      <c r="H31" s="5" t="inlineStr"/>
      <c r="I31" s="4" t="inlineStr">
        <is>
          <t>03.01.06 (pendiente, Secretario)</t>
        </is>
      </c>
    </row>
    <row r="32">
      <c r="A32" s="5" t="inlineStr">
        <is>
          <t>—</t>
        </is>
      </c>
      <c r="B32" s="33" t="inlineStr">
        <is>
          <t>03.01.08</t>
        </is>
      </c>
      <c r="C32" s="4" t="inlineStr">
        <is>
          <t>Prueba de fuego de las barreras (regla 25 de CLAUDE.md): inyectar cada caso prohibido —leer el cajón reservado, escribir fuera del proyecto, borrar datos, gastar dinero— y comprobar que se bloquea de verdad. Lo que no se bloquee se marca "no verificada"</t>
        </is>
      </c>
      <c r="D32" s="4" t="inlineStr">
        <is>
          <t>Crítico</t>
        </is>
      </c>
      <c r="E32" s="34" t="inlineStr">
        <is>
          <t>MOTOR</t>
        </is>
      </c>
      <c r="F32" s="14" t="inlineStr">
        <is>
          <t>En curso</t>
        </is>
      </c>
      <c r="G32" s="5" t="n">
        <v>1</v>
      </c>
      <c r="H32" s="5" t="n">
        <v>1</v>
      </c>
      <c r="I32" s="4" t="inlineStr">
        <is>
          <t>03.01.03 (pendiente, Constructores)</t>
        </is>
      </c>
    </row>
    <row r="33">
      <c r="A33" s="5" t="inlineStr">
        <is>
          <t>—</t>
        </is>
      </c>
      <c r="B33" s="33" t="inlineStr">
        <is>
          <t>03.01.11</t>
        </is>
      </c>
      <c r="C33" s="4" t="inlineStr">
        <is>
          <t>NUEVA 31/07 (D-10): guardia del cajon reservado por cifrado. Script cajon_reservado.py: la contraseña solo la tiene el CEO, no se guarda, se pide en cada operacion y nada se descifra a disco</t>
        </is>
      </c>
      <c r="D33" s="4" t="inlineStr">
        <is>
          <t>Constructores</t>
        </is>
      </c>
      <c r="E33" s="34" t="inlineStr">
        <is>
          <t>MOTOR</t>
        </is>
      </c>
      <c r="F33" s="14" t="inlineStr">
        <is>
          <t>En curso</t>
        </is>
      </c>
      <c r="G33" s="5" t="inlineStr"/>
      <c r="H33" s="5" t="inlineStr"/>
      <c r="I33" s="4" t="inlineStr">
        <is>
          <t>03.01.08 (en curso, Crítico)</t>
        </is>
      </c>
    </row>
    <row r="34">
      <c r="A34" s="5" t="inlineStr">
        <is>
          <t>—</t>
        </is>
      </c>
      <c r="B34" s="33" t="inlineStr">
        <is>
          <t>04.01.01</t>
        </is>
      </c>
      <c r="C34" s="4" t="inlineStr">
        <is>
          <t>Comparar 3-4 brokers del mercado elegido; elegir uno y abrir demo (CEO firma)</t>
        </is>
      </c>
      <c r="D34" s="28" t="inlineStr">
        <is>
          <t>CEO + Orquestador</t>
        </is>
      </c>
      <c r="E34" s="5" t="inlineStr">
        <is>
          <t>PRODUCTO</t>
        </is>
      </c>
      <c r="F34" s="5" t="inlineStr">
        <is>
          <t>Pendiente</t>
        </is>
      </c>
      <c r="G34" s="5" t="n">
        <v>2</v>
      </c>
      <c r="H34" s="5" t="n">
        <v>15</v>
      </c>
      <c r="I34" s="4" t="inlineStr">
        <is>
          <t>02.03.03 (pendiente, CEO)</t>
        </is>
      </c>
    </row>
    <row r="35">
      <c r="A35" s="5" t="inlineStr">
        <is>
          <t>—</t>
        </is>
      </c>
      <c r="B35" s="33" t="inlineStr">
        <is>
          <t>04.01.02</t>
        </is>
      </c>
      <c r="C35" s="4" t="inlineStr">
        <is>
          <t>Recalcular costes con precios reales del broker (sustituye 02.01.02)</t>
        </is>
      </c>
      <c r="D35" s="4" t="inlineStr">
        <is>
          <t>Constructor datos</t>
        </is>
      </c>
      <c r="E35" s="5" t="inlineStr">
        <is>
          <t>PRODUCTO</t>
        </is>
      </c>
      <c r="F35" s="5" t="inlineStr">
        <is>
          <t>Pendiente</t>
        </is>
      </c>
      <c r="G35" s="5" t="inlineStr"/>
      <c r="H35" s="5" t="inlineStr"/>
      <c r="I35" s="4" t="inlineStr">
        <is>
          <t>04.01.01 (pendiente, CEO + Orquestador)</t>
        </is>
      </c>
    </row>
    <row r="36">
      <c r="A36" s="5" t="inlineStr">
        <is>
          <t>—</t>
        </is>
      </c>
      <c r="B36" s="33" t="inlineStr">
        <is>
          <t>04.01.03</t>
        </is>
      </c>
      <c r="C36" s="4" t="inlineStr">
        <is>
          <t>Histórico limpio partido en 3 cajones: construir (train), ajustar (validación) y RESERVADO bajo llave (OOS, se abre una sola vez por variante). Ningún agente toca el reservado</t>
        </is>
      </c>
      <c r="D36" s="4" t="inlineStr">
        <is>
          <t>Constructor datos</t>
        </is>
      </c>
      <c r="E36" s="5" t="inlineStr">
        <is>
          <t>PRODUCTO</t>
        </is>
      </c>
      <c r="F36" s="5" t="inlineStr">
        <is>
          <t>Pendiente</t>
        </is>
      </c>
      <c r="G36" s="5" t="n">
        <v>1</v>
      </c>
      <c r="H36" s="5" t="n">
        <v>13</v>
      </c>
      <c r="I36" s="4" t="inlineStr">
        <is>
          <t>04.01.01 (pendiente, CEO + Orquestador)</t>
        </is>
      </c>
    </row>
    <row r="37">
      <c r="A37" s="5" t="inlineStr">
        <is>
          <t>—</t>
        </is>
      </c>
      <c r="B37" s="33" t="inlineStr">
        <is>
          <t>04.02.02</t>
        </is>
      </c>
      <c r="C37" s="4" t="inlineStr">
        <is>
          <t>Ficha por hipótesis: por qué existiría la ventaja, reglas de entrada/salida, mercado y vela. Sin lógica de por qué gana, no entra (nada de probar por probar)</t>
        </is>
      </c>
      <c r="D37" s="4" t="inlineStr">
        <is>
          <t>Investigador</t>
        </is>
      </c>
      <c r="E37" s="5" t="inlineStr">
        <is>
          <t>PRODUCTO</t>
        </is>
      </c>
      <c r="F37" s="5" t="inlineStr">
        <is>
          <t>Pendiente</t>
        </is>
      </c>
      <c r="G37" s="5" t="n">
        <v>1</v>
      </c>
      <c r="H37" s="5" t="n">
        <v>15</v>
      </c>
      <c r="I37" s="4" t="inlineStr">
        <is>
          <t>04.02.01 (pendiente, Investigador)</t>
        </is>
      </c>
    </row>
    <row r="38">
      <c r="A38" s="5" t="inlineStr">
        <is>
          <t>—</t>
        </is>
      </c>
      <c r="B38" s="33" t="inlineStr">
        <is>
          <t>04.02.03</t>
        </is>
      </c>
      <c r="C38" s="4" t="inlineStr">
        <is>
          <t>Filtro de sentido: el Validador puntúa y se eligen las 3-5 mejores</t>
        </is>
      </c>
      <c r="D38" s="4" t="inlineStr">
        <is>
          <t>Validador</t>
        </is>
      </c>
      <c r="E38" s="5" t="inlineStr">
        <is>
          <t>PRODUCTO</t>
        </is>
      </c>
      <c r="F38" s="5" t="inlineStr">
        <is>
          <t>Pendiente</t>
        </is>
      </c>
      <c r="G38" s="5" t="n">
        <v>1</v>
      </c>
      <c r="H38" s="5" t="n">
        <v>14</v>
      </c>
      <c r="I38" s="4" t="inlineStr">
        <is>
          <t>04.02.02 (pendiente, Investigador)</t>
        </is>
      </c>
    </row>
    <row r="39">
      <c r="A39" s="5" t="inlineStr">
        <is>
          <t>—</t>
        </is>
      </c>
      <c r="B39" s="33" t="inlineStr">
        <is>
          <t>04.02.04</t>
        </is>
      </c>
      <c r="C39" s="4" t="inlineStr">
        <is>
          <t>Pre-registro de variantes: cada hipótesis deja escritas sus variantes ANTES de probar (máx. 5-7 por hipótesis). Lo no registrado no se prueba</t>
        </is>
      </c>
      <c r="D39" s="4" t="inlineStr">
        <is>
          <t>Validador</t>
        </is>
      </c>
      <c r="E39" s="5" t="inlineStr">
        <is>
          <t>PRODUCTO</t>
        </is>
      </c>
      <c r="F39" s="5" t="inlineStr">
        <is>
          <t>Pendiente</t>
        </is>
      </c>
      <c r="G39" s="5" t="n">
        <v>1</v>
      </c>
      <c r="H39" s="5" t="n">
        <v>13</v>
      </c>
      <c r="I39" s="4" t="inlineStr">
        <is>
          <t>04.02.03 (pendiente, Validador)</t>
        </is>
      </c>
    </row>
    <row r="40">
      <c r="A40" s="5" t="inlineStr">
        <is>
          <t>—</t>
        </is>
      </c>
      <c r="B40" s="33" t="inlineStr">
        <is>
          <t>04.03.01</t>
        </is>
      </c>
      <c r="C40" s="4" t="inlineStr">
        <is>
          <t>Backtest con costes reales sobre el cajón de construir</t>
        </is>
      </c>
      <c r="D40" s="4" t="inlineStr">
        <is>
          <t>Constructores</t>
        </is>
      </c>
      <c r="E40" s="5" t="inlineStr">
        <is>
          <t>PRODUCTO</t>
        </is>
      </c>
      <c r="F40" s="5" t="inlineStr">
        <is>
          <t>Pendiente</t>
        </is>
      </c>
      <c r="G40" s="5" t="n">
        <v>1</v>
      </c>
      <c r="H40" s="5" t="n">
        <v>12</v>
      </c>
      <c r="I40" s="4" t="inlineStr">
        <is>
          <t>04.01.03 (pendiente, Constructor datos), 04.02.04 (pendiente, Validador)</t>
        </is>
      </c>
    </row>
    <row r="41">
      <c r="A41" s="5" t="inlineStr">
        <is>
          <t>—</t>
        </is>
      </c>
      <c r="B41" s="33" t="inlineStr">
        <is>
          <t>04.03.02</t>
        </is>
      </c>
      <c r="C41" s="4" t="inlineStr">
        <is>
          <t>Ajuste SOLO con el cajón de validación; lo que no aguanta, muere aquí</t>
        </is>
      </c>
      <c r="D41" s="4" t="inlineStr">
        <is>
          <t>Constructores</t>
        </is>
      </c>
      <c r="E41" s="5" t="inlineStr">
        <is>
          <t>PRODUCTO</t>
        </is>
      </c>
      <c r="F41" s="5" t="inlineStr">
        <is>
          <t>Pendiente</t>
        </is>
      </c>
      <c r="G41" s="5" t="n">
        <v>1</v>
      </c>
      <c r="H41" s="5" t="n">
        <v>11</v>
      </c>
      <c r="I41" s="4" t="inlineStr">
        <is>
          <t>04.03.01 (pendiente, Constructores)</t>
        </is>
      </c>
    </row>
    <row r="42">
      <c r="A42" s="5" t="inlineStr">
        <is>
          <t>—</t>
        </is>
      </c>
      <c r="B42" s="33" t="inlineStr">
        <is>
          <t>04.03.03</t>
        </is>
      </c>
      <c r="C42" s="4" t="inlineStr">
        <is>
          <t>Prueba de fuego: UNA sola pasada por variante sobre el cajón reservado (OOS). Repetir sería hacerse trampa</t>
        </is>
      </c>
      <c r="D42" s="4" t="inlineStr">
        <is>
          <t>Validador</t>
        </is>
      </c>
      <c r="E42" s="5" t="inlineStr">
        <is>
          <t>PRODUCTO</t>
        </is>
      </c>
      <c r="F42" s="5" t="inlineStr">
        <is>
          <t>Pendiente</t>
        </is>
      </c>
      <c r="G42" s="5" t="n">
        <v>1</v>
      </c>
      <c r="H42" s="5" t="n">
        <v>10</v>
      </c>
      <c r="I42" s="4" t="inlineStr">
        <is>
          <t>04.03.02 (pendiente, Constructores)</t>
        </is>
      </c>
    </row>
    <row r="43">
      <c r="A43" s="5" t="inlineStr">
        <is>
          <t>—</t>
        </is>
      </c>
      <c r="B43" s="33" t="inlineStr">
        <is>
          <t>04.03.04</t>
        </is>
      </c>
      <c r="C43" s="4" t="inlineStr">
        <is>
          <t>Robustez: Monte Carlo (barajar el orden de operaciones y meter pequeños cambios miles de veces: ¿aguanta o era suerte?) + walk-forward (repetir el ajuste avanzando en el tiempo)</t>
        </is>
      </c>
      <c r="D43" s="4" t="inlineStr">
        <is>
          <t>Validador</t>
        </is>
      </c>
      <c r="E43" s="5" t="inlineStr">
        <is>
          <t>PRODUCTO</t>
        </is>
      </c>
      <c r="F43" s="5" t="inlineStr">
        <is>
          <t>Pendiente</t>
        </is>
      </c>
      <c r="G43" s="5" t="n">
        <v>1</v>
      </c>
      <c r="H43" s="5" t="n">
        <v>9</v>
      </c>
      <c r="I43" s="4" t="inlineStr">
        <is>
          <t>04.03.03 (pendiente, Validador)</t>
        </is>
      </c>
    </row>
    <row r="44">
      <c r="A44" s="5" t="inlineStr">
        <is>
          <t>—</t>
        </is>
      </c>
      <c r="B44" s="33" t="inlineStr">
        <is>
          <t>04.03.05</t>
        </is>
      </c>
      <c r="C44" s="4" t="inlineStr">
        <is>
          <t>Veredicto pasa/no pasa por variante, con los criterios de G2. Quien construyó no vota</t>
        </is>
      </c>
      <c r="D44" s="4" t="inlineStr">
        <is>
          <t>Validador</t>
        </is>
      </c>
      <c r="E44" s="5" t="inlineStr">
        <is>
          <t>PRODUCTO</t>
        </is>
      </c>
      <c r="F44" s="5" t="inlineStr">
        <is>
          <t>Pendiente</t>
        </is>
      </c>
      <c r="G44" s="5" t="n">
        <v>1</v>
      </c>
      <c r="H44" s="5" t="n">
        <v>8</v>
      </c>
      <c r="I44" s="4" t="inlineStr">
        <is>
          <t>04.03.04 (pendiente, Validador)</t>
        </is>
      </c>
    </row>
    <row r="45">
      <c r="A45" s="5" t="inlineStr">
        <is>
          <t>—</t>
        </is>
      </c>
      <c r="B45" s="33" t="inlineStr">
        <is>
          <t>04.04.01</t>
        </is>
      </c>
      <c r="C45" s="4" t="inlineStr">
        <is>
          <t>Informe de la vuelta: qué pasó, qué murió y por qué. Registro de TODAS las pruebas, también fallidas</t>
        </is>
      </c>
      <c r="D45" s="4" t="inlineStr">
        <is>
          <t>Secretario</t>
        </is>
      </c>
      <c r="E45" s="5" t="inlineStr">
        <is>
          <t>PRODUCTO</t>
        </is>
      </c>
      <c r="F45" s="5" t="inlineStr">
        <is>
          <t>Pendiente</t>
        </is>
      </c>
      <c r="G45" s="5" t="n">
        <v>2</v>
      </c>
      <c r="H45" s="5" t="n">
        <v>7</v>
      </c>
      <c r="I45" s="4" t="inlineStr">
        <is>
          <t>04.03.05 (pendiente, Validador)</t>
        </is>
      </c>
    </row>
    <row r="46">
      <c r="A46" s="5" t="inlineStr">
        <is>
          <t>—</t>
        </is>
      </c>
      <c r="B46" s="33" t="inlineStr">
        <is>
          <t>04.04.02</t>
        </is>
      </c>
      <c r="C46" s="4" t="inlineStr">
        <is>
          <t>Si ninguna pasa: volver a 04.02 con lecciones (vuelta 2, 3…). Tras la 3ª vuelta sin éxito: revisión completa del planteamiento con el CEO</t>
        </is>
      </c>
      <c r="D46" s="4" t="inlineStr">
        <is>
          <t>Orquestador</t>
        </is>
      </c>
      <c r="E46" s="5" t="inlineStr">
        <is>
          <t>PRODUCTO</t>
        </is>
      </c>
      <c r="F46" s="5" t="inlineStr">
        <is>
          <t>Pendiente</t>
        </is>
      </c>
      <c r="G46" s="5" t="inlineStr"/>
      <c r="H46" s="5" t="inlineStr"/>
      <c r="I46" s="4" t="inlineStr">
        <is>
          <t>04.04.01 (pendiente, Secretario)</t>
        </is>
      </c>
    </row>
    <row r="47">
      <c r="A47" s="5" t="inlineStr">
        <is>
          <t>—</t>
        </is>
      </c>
      <c r="B47" s="33" t="inlineStr">
        <is>
          <t>04.04.03</t>
        </is>
      </c>
      <c r="C47" s="4" t="inlineStr">
        <is>
          <t>PUERTA G2: el CEO decide qué pasa a demo</t>
        </is>
      </c>
      <c r="D47" s="28" t="inlineStr">
        <is>
          <t>CEO</t>
        </is>
      </c>
      <c r="E47" s="5" t="inlineStr">
        <is>
          <t>PRODUCTO</t>
        </is>
      </c>
      <c r="F47" s="5" t="inlineStr">
        <is>
          <t>Pendiente</t>
        </is>
      </c>
      <c r="G47" s="5" t="n">
        <v>1</v>
      </c>
      <c r="H47" s="5" t="n">
        <v>5</v>
      </c>
      <c r="I47" s="4" t="inlineStr">
        <is>
          <t>04.04.01 (pendiente, Secretario)</t>
        </is>
      </c>
    </row>
    <row r="48">
      <c r="A48" s="5" t="inlineStr">
        <is>
          <t>—</t>
        </is>
      </c>
      <c r="B48" s="33" t="inlineStr">
        <is>
          <t>05.01.01</t>
        </is>
      </c>
      <c r="C48" s="4" t="inlineStr">
        <is>
          <t>Bot en demo, solo y con guardias automáticos</t>
        </is>
      </c>
      <c r="D48" s="4" t="inlineStr">
        <is>
          <t>Constructores</t>
        </is>
      </c>
      <c r="E48" s="5" t="inlineStr">
        <is>
          <t>PRODUCTO</t>
        </is>
      </c>
      <c r="F48" s="5" t="inlineStr">
        <is>
          <t>Pendiente</t>
        </is>
      </c>
      <c r="G48" s="5" t="n">
        <v>1</v>
      </c>
      <c r="H48" s="5" t="n">
        <v>4</v>
      </c>
      <c r="I48" s="4" t="inlineStr">
        <is>
          <t>04.04.03 (pendiente, CEO)</t>
        </is>
      </c>
    </row>
    <row r="49">
      <c r="A49" s="5" t="inlineStr">
        <is>
          <t>—</t>
        </is>
      </c>
      <c r="B49" s="33" t="inlineStr">
        <is>
          <t>05.01.02</t>
        </is>
      </c>
      <c r="C49" s="4" t="inlineStr">
        <is>
          <t>Seguimiento semanal real vs. prometido (8-12 semanas)</t>
        </is>
      </c>
      <c r="D49" s="4" t="inlineStr">
        <is>
          <t>Secretario</t>
        </is>
      </c>
      <c r="E49" s="5" t="inlineStr">
        <is>
          <t>PRODUCTO</t>
        </is>
      </c>
      <c r="F49" s="5" t="inlineStr">
        <is>
          <t>Pendiente</t>
        </is>
      </c>
      <c r="G49" s="5" t="n">
        <v>1</v>
      </c>
      <c r="H49" s="5" t="n">
        <v>3</v>
      </c>
      <c r="I49" s="4" t="inlineStr">
        <is>
          <t>05.01.01 (pendiente, Constructores)</t>
        </is>
      </c>
    </row>
    <row r="50">
      <c r="A50" s="5" t="inlineStr">
        <is>
          <t>—</t>
        </is>
      </c>
      <c r="B50" s="33" t="inlineStr">
        <is>
          <t>05.01.03</t>
        </is>
      </c>
      <c r="C50" s="4" t="inlineStr">
        <is>
          <t>PUERTA G3: CEO decide dinero, cuánto y pérdida máxima</t>
        </is>
      </c>
      <c r="D50" s="28" t="inlineStr">
        <is>
          <t>CEO</t>
        </is>
      </c>
      <c r="E50" s="5" t="inlineStr">
        <is>
          <t>PRODUCTO</t>
        </is>
      </c>
      <c r="F50" s="5" t="inlineStr">
        <is>
          <t>Pendiente</t>
        </is>
      </c>
      <c r="G50" s="5" t="n">
        <v>1</v>
      </c>
      <c r="H50" s="5" t="n">
        <v>2</v>
      </c>
      <c r="I50" s="4" t="inlineStr">
        <is>
          <t>05.01.02 (pendiente, Secretario)</t>
        </is>
      </c>
    </row>
    <row r="51">
      <c r="A51" s="5" t="inlineStr">
        <is>
          <t>—</t>
        </is>
      </c>
      <c r="B51" s="33" t="inlineStr">
        <is>
          <t>06.01.01</t>
        </is>
      </c>
      <c r="C51" s="4" t="inlineStr">
        <is>
          <t>Dinero pequeño respetando los límites de 01.01.03</t>
        </is>
      </c>
      <c r="D51" s="4" t="inlineStr">
        <is>
          <t>Constructores</t>
        </is>
      </c>
      <c r="E51" s="5" t="inlineStr">
        <is>
          <t>PRODUCTO</t>
        </is>
      </c>
      <c r="F51" s="5" t="inlineStr">
        <is>
          <t>Pendiente</t>
        </is>
      </c>
      <c r="G51" s="5" t="n">
        <v>1</v>
      </c>
      <c r="H51" s="5" t="n">
        <v>1</v>
      </c>
      <c r="I51" s="4" t="inlineStr">
        <is>
          <t>05.01.03 (pendiente, CEO)</t>
        </is>
      </c>
    </row>
    <row r="52">
      <c r="A52" s="5" t="inlineStr">
        <is>
          <t>—</t>
        </is>
      </c>
      <c r="B52" s="33" t="inlineStr">
        <is>
          <t>06.01.02</t>
        </is>
      </c>
      <c r="C52" s="4" t="inlineStr">
        <is>
          <t>PUERTA G4 mensual: seguir, ampliar o parar. Si pierde más de lo escrito, se para sin discusión</t>
        </is>
      </c>
      <c r="D52" s="28" t="inlineStr">
        <is>
          <t>CEO</t>
        </is>
      </c>
      <c r="E52" s="5" t="inlineStr">
        <is>
          <t>PRODUCTO</t>
        </is>
      </c>
      <c r="F52" s="5" t="inlineStr">
        <is>
          <t>Pendiente</t>
        </is>
      </c>
      <c r="G52" s="5" t="inlineStr"/>
      <c r="H52" s="5" t="inlineStr"/>
      <c r="I52" s="4" t="inlineStr">
        <is>
          <t>06.01.01 (pendiente, Constructores)</t>
        </is>
      </c>
    </row>
    <row r="54" ht="46" customHeight="1">
      <c r="A54" s="35" t="inlineStr">
        <is>
          <t>Aviso de la regla 8 (CLAUDE.md): si la cola de arriba solo tuviera tareas de MOTOR, hay que parar y avisar al CEO; significa que la cola esta mal llena. Ahora mismo la cola tiene 5 de producto y 12 de motor.</t>
        </is>
      </c>
    </row>
  </sheetData>
  <mergeCells count="11">
    <mergeCell ref="A4:B4"/>
    <mergeCell ref="C6:H6"/>
    <mergeCell ref="A2:I2"/>
    <mergeCell ref="C5:H5"/>
    <mergeCell ref="A5:B5"/>
    <mergeCell ref="A1:I1"/>
    <mergeCell ref="A9:I9"/>
    <mergeCell ref="A27:I27"/>
    <mergeCell ref="C4:H4"/>
    <mergeCell ref="A6:B6"/>
    <mergeCell ref="A54:I5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9"/>
  <sheetViews>
    <sheetView workbookViewId="0">
      <pane ySplit="4" topLeftCell="A5" activePane="bottomLeft" state="frozen"/>
      <selection pane="bottomLeft" activeCell="A1" sqref="A1"/>
    </sheetView>
  </sheetViews>
  <sheetFormatPr baseColWidth="8" defaultRowHeight="15"/>
  <cols>
    <col width="10" customWidth="1" min="1" max="1"/>
    <col width="58" customWidth="1" min="2" max="2"/>
    <col width="19" customWidth="1" min="3" max="3"/>
    <col width="16" customWidth="1" min="4" max="4"/>
    <col width="12" customWidth="1" min="5" max="5"/>
    <col width="56" customWidth="1" min="6" max="6"/>
    <col width="50" customWidth="1" min="7" max="7"/>
  </cols>
  <sheetData>
    <row r="1" ht="24" customHeight="1">
      <c r="A1" s="1" t="inlineStr">
        <is>
          <t>TODAS LAS TAREAS — WBS v0.9 · generado de 00-direccion/WBS.md</t>
        </is>
      </c>
      <c r="B1" s="2" t="n"/>
      <c r="C1" s="2" t="n"/>
      <c r="D1" s="2" t="n"/>
      <c r="E1" s="2" t="n"/>
      <c r="F1" s="2" t="n"/>
      <c r="G1" s="2" t="n"/>
    </row>
    <row r="2">
      <c r="A2" s="21" t="inlineStr">
        <is>
          <t>Una fila por tarea. Filtra por ESTADO con la flecha de la cabecera. Verde = hecha · amarillo = en curso · rojo = bloqueada. Las tareas del CEO llevan la columna RESPONSABLE en naranja. Los textos largos se cortan y se apunta al WBS: esto es la vista, no la fuente.</t>
        </is>
      </c>
      <c r="B2" s="22" t="n"/>
      <c r="C2" s="22" t="n"/>
      <c r="D2" s="22" t="n"/>
      <c r="E2" s="22" t="n"/>
      <c r="F2" s="22" t="n"/>
      <c r="G2" s="22" t="n"/>
    </row>
    <row r="4" ht="28" customHeight="1">
      <c r="A4" s="3" t="inlineStr">
        <is>
          <t>CODIGO</t>
        </is>
      </c>
      <c r="B4" s="3" t="inlineStr">
        <is>
          <t>QUE SE HACE</t>
        </is>
      </c>
      <c r="C4" s="3" t="inlineStr">
        <is>
          <t>RESPONSABLE</t>
        </is>
      </c>
      <c r="D4" s="3" t="inlineStr">
        <is>
          <t>DEPENDE DE</t>
        </is>
      </c>
      <c r="E4" s="3" t="inlineStr">
        <is>
          <t>ESTADO</t>
        </is>
      </c>
      <c r="F4" s="3" t="inlineStr">
        <is>
          <t>RESULTADO / DONDE ESTA</t>
        </is>
      </c>
      <c r="G4" s="3" t="inlineStr">
        <is>
          <t>FICHA (LO QUE SE ENCARGO)</t>
        </is>
      </c>
    </row>
    <row r="5" ht="20" customHeight="1">
      <c r="A5" s="36" t="inlineStr">
        <is>
          <t>01</t>
        </is>
      </c>
      <c r="B5" s="37" t="inlineStr">
        <is>
          <t>ARRANQUE (PUERTA G0)</t>
        </is>
      </c>
      <c r="C5" s="37" t="n"/>
      <c r="D5" s="37" t="n"/>
      <c r="E5" s="37" t="n"/>
      <c r="F5" s="37" t="n"/>
      <c r="G5" s="37" t="n"/>
    </row>
    <row r="6">
      <c r="A6" s="13" t="inlineStr">
        <is>
          <t>01.01.01</t>
        </is>
      </c>
      <c r="B6" s="4" t="inlineStr">
        <is>
          <t>Aprobar plan y reglas</t>
        </is>
      </c>
      <c r="C6" s="28" t="inlineStr">
        <is>
          <t>CEO</t>
        </is>
      </c>
      <c r="D6" s="4" t="inlineStr">
        <is>
          <t>—</t>
        </is>
      </c>
      <c r="E6" s="4" t="inlineStr">
        <is>
          <t>En curso</t>
        </is>
      </c>
      <c r="F6" s="4" t="inlineStr"/>
      <c r="G6" s="4" t="inlineStr"/>
    </row>
    <row r="7">
      <c r="A7" s="13" t="inlineStr">
        <is>
          <t>01.01.02</t>
        </is>
      </c>
      <c r="B7" s="4" t="inlineStr">
        <is>
          <t>Aprobar criterios de la puerta G1</t>
        </is>
      </c>
      <c r="C7" s="28" t="inlineStr">
        <is>
          <t>CEO</t>
        </is>
      </c>
      <c r="D7" s="4" t="inlineStr">
        <is>
          <t>01.01.01</t>
        </is>
      </c>
      <c r="E7" s="4" t="inlineStr">
        <is>
          <t>Hecha</t>
        </is>
      </c>
      <c r="F7" s="4" t="inlineStr">
        <is>
          <t>** 01/08 — opción A de la ficha: los 7 criterios G1-C1..G1-C7 aprobados (D-11). Recorrido: constructor-datos, investigador, crítico-código, validador. Propuesta inicial corregida en cuatro puntos por crítico y validador. FICHAS DE APOYO (localizadas en 07.01.01(c), 02/08): 01-investigacion/mercados/evidencia_umbrales_g1.md (investigador, evidencia externa; se autodeclara «Apoya a: 01.01.02») y 04-resultados/veredictos/veredicto_criterios_g1.md (validador, contraataque a la propuesta C1-C7; título propio «tarea 01.01.02»).</t>
        </is>
      </c>
      <c r="G7" s="4" t="inlineStr"/>
    </row>
    <row r="8">
      <c r="A8" s="13" t="inlineStr">
        <is>
          <t>01.01.03</t>
        </is>
      </c>
      <c r="B8" s="4" t="inlineStr">
        <is>
          <t>Fijar límites: fecha tope, horas CEO/semana, pérdida máxima futura</t>
        </is>
      </c>
      <c r="C8" s="28" t="inlineStr">
        <is>
          <t>CEO</t>
        </is>
      </c>
      <c r="D8" s="4" t="inlineStr">
        <is>
          <t>01.01.01</t>
        </is>
      </c>
      <c r="E8" s="4" t="inlineStr">
        <is>
          <t>Hecha</t>
        </is>
      </c>
      <c r="F8" s="4" t="inlineStr">
        <is>
          <t>01/08 — los tres limites firmados como D-12, D-13 y D-14** y escritos en la seccion «Limites del CEO» de este WBS. (1) FECHA TOPE 01/12/2026 + revision de avance el dia 1 de cada mes con poder de parar; GM gana una cuarta salida (parar). (2) 1 h los lunes como MINIMO garantizado, no techo, con tope de 5 fichas por revision. (3) DINERO REAL: aviso a -25% que no para nada, parada dura automatica a -30% del capital inicial ingresado, aplicada por el bot de forma continua (regla 26 de CLAUDE.md); genera requisito nuevo en 05.01.01 y 06.01.01. Resuelta la contradiccion que este WBS arrastraba (-25% propuesto frente a tolerancia declarada del 50-60%). No se reabrio el capital: los 1.000-2.000 € […] texto completo en 00-direccion/WBS.md</t>
        </is>
      </c>
      <c r="G8" s="4" t="inlineStr"/>
    </row>
    <row r="9">
      <c r="A9" s="13" t="inlineStr">
        <is>
          <t>01.02.01</t>
        </is>
      </c>
      <c r="B9" s="4" t="inlineStr">
        <is>
          <t>Analizar gb2 como información (no copia)</t>
        </is>
      </c>
      <c r="C9" s="4" t="inlineStr">
        <is>
          <t>Crítico</t>
        </is>
      </c>
      <c r="D9" s="4" t="inlineStr">
        <is>
          <t>01.01.01</t>
        </is>
      </c>
      <c r="E9" s="4" t="inlineStr">
        <is>
          <t>Hecha</t>
        </is>
      </c>
      <c r="F9" s="4" t="inlineStr">
        <is>
          <t>** 30/07 — INFORME_GB2.md. FICHA DE APOYO (localizada en 07.01.01(c), 02/08): 01-investigacion/herencia-gb2/HERENCIA_GB2.md, que se autodeclara en su primera línea «Tarea 01.02.01 cerrada. Fuente: INFORME_GB2.md» y contiene la ficha D6 del trasplante.</t>
        </is>
      </c>
      <c r="G9" s="4" t="inlineStr"/>
    </row>
    <row r="10">
      <c r="A10" s="13" t="inlineStr">
        <is>
          <t>01.02.02</t>
        </is>
      </c>
      <c r="B10" s="4" t="inlineStr">
        <is>
          <t>Trasplante pieza a pieza desde gb2 (D6=B). Una tarea por pieza, cada una con su criterio de aceptación (ver sección Trasplante). Ninguna entra sin pasar su prueba ejecutada</t>
        </is>
      </c>
      <c r="C10" s="4" t="inlineStr">
        <is>
          <t>Crítico + Constructores</t>
        </is>
      </c>
      <c r="D10" s="4" t="inlineStr">
        <is>
          <t>03.01.01</t>
        </is>
      </c>
      <c r="E10" s="4" t="inlineStr">
        <is>
          <t>Pendiente</t>
        </is>
      </c>
      <c r="F10" s="4" t="inlineStr"/>
      <c r="G10" s="4" t="inlineStr"/>
    </row>
    <row r="11">
      <c r="A11" s="13" t="inlineStr">
        <is>
          <t>01.02.03</t>
        </is>
      </c>
      <c r="B11" s="4" t="inlineStr">
        <is>
          <t>Auditar el catálogo awesome-claude-code y, por ampliación del CEO (01/08), las fuentes oficiales de Anthropic y los mecanismos nativos de Claude Code; proponer máximo 4 piezas concretas para el motor, con motivo y coste de integración. Carril de motor: cuenta contra el 20% y se limita a 1 tirada</t>
        </is>
      </c>
      <c r="C11" s="4" t="inlineStr">
        <is>
          <t>Investigador</t>
        </is>
      </c>
      <c r="D11" s="4" t="inlineStr">
        <is>
          <t>03.01.02</t>
        </is>
      </c>
      <c r="E11" s="4" t="inlineStr">
        <is>
          <t>En curso</t>
        </is>
      </c>
      <c r="F11" s="4" t="inlineStr">
        <is>
          <t>01/08: informe entregado. Lo escribió el ORQUESTADOR en sesión principal, no el investigador, porque la sesión arrancó con la invocación de subagentes restringida; el CEO lo señaló y el reparto se corrigió en la misma tirada. Conclusión del informe: CERO piezas del catálogo, las 4 propuestas son mecanismos nativos (contador mecánico producto/motor, registro de autoría contra la auto-revisión, detección de fallo o rechazo de modelo, ejecución desatendida por cron). Hallazgo con consecuencia para 03.01.03: Claude Code no ofrece ningún tope de gasto que el proyecto pueda elegir; solo /usage (mirar, no bloquear), límites de workspace en la Console con clave de API, y OpenTelemetry. Matización […] texto completo en 00-direccion/WBS.md</t>
        </is>
      </c>
      <c r="G11" s="4" t="inlineStr">
        <is>
          <t>FICHA (01/08): Aviso de proceso, dicho sin adornos: la ficha se escribe DESPUÉS del barrido, no antes, incumpliendo la regla 5 de CLAUDE.md. Motivo: el CEO pidió la investigación y la ampliación de alcance en la misma orden, en sesión. Queda anotado en vez de disimulado. Alcance ampliado: además del catálogo, fuentes oficiales de Anthropic (anthropics/*, documentación de code.claude.com) y mecanismos nativos ya instalados y sin usar (hooks, reglas con ámbito de ruta, worktrees, subagentes […] texto completo en 00-direccion/WBS.md</t>
        </is>
      </c>
    </row>
    <row r="12">
      <c r="A12" s="13" t="inlineStr">
        <is>
          <t>01.02.04</t>
        </is>
      </c>
      <c r="B12" s="4" t="inlineStr">
        <is>
          <t>NUEVA 01/08 (petición del CEO): evaluar si merece la pena añadir servidores MCP al proyecto, con veredicto por servidor y regla de admisión escrita para el futuro. Carril de motor: cuenta contra el 20% y se limita a 1 tirada</t>
        </is>
      </c>
      <c r="C12" s="4" t="inlineStr">
        <is>
          <t>Investigador</t>
        </is>
      </c>
      <c r="D12" s="4" t="inlineStr">
        <is>
          <t>03.01.02</t>
        </is>
      </c>
      <c r="E12" s="4" t="inlineStr">
        <is>
          <t>En curso</t>
        </is>
      </c>
      <c r="F12" s="4" t="inlineStr">
        <is>
          <t>.</t>
        </is>
      </c>
      <c r="G12" s="4" t="inlineStr">
        <is>
          <t>FICHA (01/08): Motivo de la tarea: el CEO pregunta si los MCP salen a cuenta aquí; no estaba medido en el WBS. Alcance: veredicto uno por uno sobre los servidores de referencia oficiales (filesystem, git, memory, sequential-thinking, fetch, time, everything, y sqlite, que está archivado upstream), sobre github, sobre los de datos de mercado (yfinance, TradingView, QuantConnect, ccxt), sobre los de broker (Kraken, Alpaca, IBKR) y sobre los de navegador (Playwright, Chrome DevTools). Filtros […] texto completo en 00-direccion/WBS.md</t>
        </is>
      </c>
    </row>
    <row r="13" ht="20" customHeight="1">
      <c r="A13" s="36" t="inlineStr">
        <is>
          <t>02</t>
        </is>
      </c>
      <c r="B13" s="37" t="inlineStr">
        <is>
          <t>ELEGIR MERCADO Y TAMAÑO DE VELA (PUERTA G1)</t>
        </is>
      </c>
      <c r="C13" s="37" t="n"/>
      <c r="D13" s="37" t="n"/>
      <c r="E13" s="37" t="n"/>
      <c r="F13" s="37" t="n"/>
      <c r="G13" s="37" t="n"/>
    </row>
    <row r="14">
      <c r="A14" s="13" t="inlineStr">
        <is>
          <t>02.01.01</t>
        </is>
      </c>
      <c r="B14" s="4" t="inlineStr">
        <is>
          <t>Confirmar 8 candidatos: EURUSD, GBPUSD, USDJPY, AUDUSD, USDCHF, XAUUSD, BTC, ETH</t>
        </is>
      </c>
      <c r="C14" s="28" t="inlineStr">
        <is>
          <t>CEO + Orquestador</t>
        </is>
      </c>
      <c r="D14" s="4" t="inlineStr">
        <is>
          <t>01.01.02</t>
        </is>
      </c>
      <c r="E14" s="4" t="inlineStr">
        <is>
          <t>Pendiente</t>
        </is>
      </c>
      <c r="F14" s="4" t="inlineStr">
        <is>
          <t>los 8 candidatos ya se usan de hecho en 02.02.04 (hecha) y en los briefs A y B; falta ratificación formal del CEO en G1</t>
        </is>
      </c>
      <c r="G14" s="4" t="inlineStr"/>
    </row>
    <row r="15">
      <c r="A15" s="13" t="inlineStr">
        <is>
          <t>02.01.02</t>
        </is>
      </c>
      <c r="B15" s="4" t="inlineStr">
        <is>
          <t>Costes típicos de operar por mercado (PROVISIONAL hasta 04.01.02)</t>
        </is>
      </c>
      <c r="C15" s="4" t="inlineStr">
        <is>
          <t>Investigador</t>
        </is>
      </c>
      <c r="D15" s="4" t="inlineStr">
        <is>
          <t>02.01.01</t>
        </is>
      </c>
      <c r="E15" s="4" t="inlineStr">
        <is>
          <t>Hecha</t>
        </is>
      </c>
      <c r="F15" s="4" t="inlineStr">
        <is>
          <t>31/07 — coste_operar.md. Tabla final de coste de entrar y salir, 8 instrumentos, ida y vuelta, con tipo de cuenta declarado (raw/ECN vs spread-only, que no son comparables entre si). CORRECCIONES DE L-002 APLICADAS EN LA TABLA y no en nota al pie: USDJPY 1,16 pips (no 0,90) y USDCHF 0,73 pips (no 0,80). VERIFICADO por el orquestador: aritmetica de las 8 filas recalculada (spread + comision = total, cuadran las 6 con comision); las cifras citadas existen en el origen, localizadas por grep. RECORRIDO: primera entrega DEVUELTA por incumplir la regla 13 de CLAUDE.md (seis citas por numero de linea, que se rompen solas al editar el origen); corregida a referencias por seccion y fila de tabla, […] texto completo en 00-direccion/WBS.md</t>
        </is>
      </c>
      <c r="G15" s="4" t="inlineStr">
        <is>
          <t>FICHA (31/07): Alcance: tabla FINAL de coste de entrar y salir (spread + comision) para los 8 instrumentos, en la unidad natural de cada uno, ida y vuelta. Base ya existente: la Entrega 1 del Brief A (entrega_brief_A.md), ACEPTADA por el revisor con fuentes primarias (PDF oficiales de Pepperstone e IC Markets). No se rehace la investigacion: se consolida. Correcciones OBLIGATORIAS, aplicadas EN LA TABLA y no en nota al pie (L-002): USDJPY = 1,16 pips (no 0,90) y USDCHF = 0,73 pips (no 0,80); […] texto completo en 00-direccion/WBS.md</t>
        </is>
      </c>
    </row>
    <row r="16">
      <c r="A16" s="13" t="inlineStr">
        <is>
          <t>02.02.01</t>
        </is>
      </c>
      <c r="B16" s="4" t="inlineStr">
        <is>
          <t>CORREGIDA 29/07: descargar precios y CALCULAR el ATR de 15m, 1h y 4h (no buscarlo publicado: no existe). Script atr_local.py</t>
        </is>
      </c>
      <c r="C16" s="4" t="inlineStr">
        <is>
          <t>Constructor de datos</t>
        </is>
      </c>
      <c r="D16" s="4" t="inlineStr">
        <is>
          <t>02.01.01</t>
        </is>
      </c>
      <c r="E16" s="4" t="inlineStr">
        <is>
          <t>Hecha</t>
        </is>
      </c>
      <c r="F16" s="4" t="inlineStr">
        <is>
          <t>31/07 — precios_mercado.py, atr_15m_1h_4h.json, atr_real_15m_1h_4h.md. Tabla de 8 instrumentos x 3 velas, 24/24 celdas calculadas sobre precios descargados, 0 estimadas, 0 duplicados, 0 velas invalidas. Cordura del oro OK: 3.596,64 USD/oz, en miles. RECORRIDO: entregada, RECHAZADA por critico-codigo (bin incompleto contado como completo, en el filtro de ventana y en el primer bin de 4h de los 8 instrumentos), reparada en ronda 1, re-revisada y ACEPTADA. El critico recalculo el ATR desde los datos brutos con su propio codigo y coincide digito a digito con el script (XAUUSD 1h = 14.464676282400184, n=11824); verifico ademas que el descarte de bins de borde NO se come huecos legitimos (801 […] texto completo en 00-direccion/WBS.md</t>
        </is>
      </c>
      <c r="G16" s="4" t="inlineStr">
        <is>
          <t>FICHA (31/07): Fuente fijada: HistData para EURUSD, GBPUSD, USDJPY, AUDUSD y USDCHF · Dukascopy para XAUUSD al contado (NO el futuro GC=F, ver L-007) · Kraken para BTCUSD y ETHUSD contra dolar real, no contra Tether (L-007). Se jubila Yahoo/yfinance. Alcance: descargar historico suficiente para 2 años completos y calcular ATR(14) en velas de 15m, 1h y 4h para los 8 instrumentos. Corte: 22:00 UTC, unico para todos. Artefacto: un solo script que sirva tambien a 02.02.03 (T2 avisa: en gb2 la […] texto completo en 00-direccion/WBS.md</t>
        </is>
      </c>
    </row>
    <row r="17">
      <c r="A17" s="13" t="inlineStr">
        <is>
          <t>02.02.02</t>
        </is>
      </c>
      <c r="B17" s="4" t="inlineStr">
        <is>
          <t>Coste relativo: coste ÷ movimiento medio, en % (el número clave). Coste de USDJPY corregido a 1,16 pips</t>
        </is>
      </c>
      <c r="C17" s="4" t="inlineStr">
        <is>
          <t>Constructor de datos</t>
        </is>
      </c>
      <c r="D17" s="4" t="inlineStr">
        <is>
          <t>02.01.02, 02.02.01</t>
        </is>
      </c>
      <c r="E17" s="4" t="inlineStr">
        <is>
          <t>Hecha</t>
        </is>
      </c>
      <c r="F17" s="4" t="inlineStr">
        <is>
          <t>31/07 — coste_relativo.py, coste_relativo_15m_1h_4h.json, coste_relativo.md. ES EL CRITERIO 1 DE G1. Coste de ida y vuelta ÷ ATR x 100, 8 instrumentos x 3 velas, en CUATRO escenarios: vela media, mediana, tranquila (p10) y agitada (p90). RECORRIDO: entregada, RECHAZADA por critico-codigo (no por error de calculo —reejecuto el script y salio bit-identico— sino por un sesgo de metodo sin declarar), corregida y ACEPTADA. EL SESGO, hallado por el revisor y reproducido por el orquestador: el ATR medio de XAUUSD esta inflado respecto a su mediana (1,28-1,30) mas que el de ningun otro instrumento (0,985-1,144), porque su pausa diaria de 21:00-22:00 UTC genera un salto de rango UNA VEZ AL DIA […] texto completo en 00-direccion/WBS.md</t>
        </is>
      </c>
      <c r="G17" s="4" t="inlineStr">
        <is>
          <t>FICHA (31/07): Alcance: coste relativo = coste de ida y vuelta ÷ ATR medio de la vela x 100, para los 8 instrumentos x 3 velas (15m, 1h, 4h). Es el criterio 1 de la puerta G1: se exige ≤10-15%. Insumos, ambos ya cerrados y verificados: costes de coste_operar.md (02.01.02) y ATR de 04-resultados/atr_15m_1h_4h.json (02.02.01). No se recalcula ninguno de los dos. TRAMPA PRINCIPAL, declarada de antemano (L-002 y L-004): el JSON guarda el ATR en unidad CRUDA de precio, no en pips. El divisor de pip […] texto completo en 00-direccion/WBS.md</t>
        </is>
      </c>
    </row>
    <row r="18">
      <c r="A18" s="13" t="inlineStr">
        <is>
          <t>02.02.03</t>
        </is>
      </c>
      <c r="B18" s="4" t="inlineStr">
        <is>
          <t>CORREGIDA 30/07: CALCULAR la matriz de correlaciones en 3 ventanas (3 meses, 1 año, 2 años) con hora de corte única (22:00 UTC) y en la vela elegida, no solo diaria. No existe publicada de forma homogénea</t>
        </is>
      </c>
      <c r="C18" s="4" t="inlineStr">
        <is>
          <t>Constructor de datos</t>
        </is>
      </c>
      <c r="D18" s="4" t="inlineStr">
        <is>
          <t>02.01.01</t>
        </is>
      </c>
      <c r="E18" s="4" t="inlineStr">
        <is>
          <t>Hecha</t>
        </is>
      </c>
      <c r="F18" s="4" t="inlineStr">
        <is>
          <t>31/07 — correlaciones_mercado.py, correlaciones_8x8.json, correlaciones_8x8.md. 12 matrices 8x8 (3 ventanas x 4 velas, incluida la diaria) sobre RENDIMIENTOS logaritmicos, corte unico 22:00 UTC. ACEPTADA por critico-codigo sin ronda de reparacion. VERIFICADO POR EJECUCION por el revisor: recalculo 4 celdas con codigo propio y coinciden a 15 decimales; confirmo que correlaciona rendimientos y no precios (XAUUSD/USDJPY da +0,586 en precios frente a -0,060 en rendimientos); demostro que pandas ignora el offset con "1D" y que el codigo usa "24h", con el 100% de las velas diarias ancladas a las 22:00; y SIN REGRESION en precios_mercado.py, cuyo ATR regenerado sale identico digito a digito al […] texto completo en 00-direccion/WBS.md</t>
        </is>
      </c>
      <c r="G18" s="4" t="inlineStr">
        <is>
          <t>FICHA (31/07): Alcance: matriz de correlaciones 8x8 sobre RENDIMIENTOS logaritmicos (nunca sobre precios), en 3 ventanas (3 meses, 1 año, 2 años) y en LAS TRES VELAS (15m, 1h, 4h), mas la diaria como comprobacion. Por que las tres velas: la ficha original decia "en la vela elegida", pero la vela se elige en G1, que es despues; calcular las tres evita adivinar (regla 6 de CLAUDE.md) y deja a la puerta el dato elija la que elija. Corte: 22:00 UTC unico, imprescindible o los rendimientos no […] texto completo en 00-direccion/WBS.md</t>
        </is>
      </c>
    </row>
    <row r="19">
      <c r="A19" s="13" t="inlineStr">
        <is>
          <t>02.02.04</t>
        </is>
      </c>
      <c r="B19" s="4" t="inlineStr">
        <is>
          <t>Historial disponible: años, fuente, coste</t>
        </is>
      </c>
      <c r="C19" s="4" t="inlineStr">
        <is>
          <t>Investigador</t>
        </is>
      </c>
      <c r="D19" s="4" t="inlineStr">
        <is>
          <t>02.01.01</t>
        </is>
      </c>
      <c r="E19" s="4" t="inlineStr">
        <is>
          <t>Hecha</t>
        </is>
      </c>
      <c r="F19" s="4" t="inlineStr">
        <is>
          <t>** — Dukascopy (tick desde 2003, forex y oro al contado), HistData, TrueFX, Binance, Kraken. Todo gratis, muy por encima de los 5 años exigidos</t>
        </is>
      </c>
      <c r="G19" s="4" t="inlineStr"/>
    </row>
    <row r="20">
      <c r="A20" s="13" t="inlineStr">
        <is>
          <t>02.02.05</t>
        </is>
      </c>
      <c r="B20" s="4" t="inlineStr">
        <is>
          <t>NUEVA: coste de mantener posición de un día para otro (swap/financiación) en los 8 instrumentos, 2-3 brokers. En cripto CFD puede superar varias veces al spread</t>
        </is>
      </c>
      <c r="C20" s="4" t="inlineStr">
        <is>
          <t>Investigador</t>
        </is>
      </c>
      <c r="D20" s="4" t="inlineStr">
        <is>
          <t>02.01.01</t>
        </is>
      </c>
      <c r="E20" s="4" t="inlineStr">
        <is>
          <t>Hecha</t>
        </is>
      </c>
      <c r="F20" s="4" t="inlineStr">
        <is>
          <t>** 31/07 — coste_swap.md. Coste de mantener posicion en 8 instrumentos x 3 brokers (OANDA, XTB, Pepperstone), largo y corto por separado, en % anual y $/dia sobre 100.000 USD. VERIFICADO por recalculo independiente: las 30 celdas con % y $/dia cuadran; signos de USDJPY y USDCHF coherentes entre brokers (L-006 comprobada, sin inversion de convencion). HALLAZGO PARA G1: mantener cripto cuesta -33,6% anual (OANDA) y -22,5% (Pepperstone), entre 20 y 30 veces mas que entrar y salir; el oro -6,6%/-8,2%; y USDCHF y USDJPY en largo PAGAN (+2,6% y +1,6%). Implicacion: si entra cripto en el portafolio, la estrategia no puede aguantar posiciones de un dia para otro. HUECO DECLARADO: ETHUSD queda con […] texto completo en 00-direccion/WBS.md</t>
        </is>
      </c>
      <c r="G20" s="4" t="inlineStr"/>
    </row>
    <row r="21">
      <c r="A21" s="13" t="inlineStr">
        <is>
          <t>02.03.01</t>
        </is>
      </c>
      <c r="B21" s="4" t="inlineStr">
        <is>
          <t>Revisión independiente de método, fuentes y números</t>
        </is>
      </c>
      <c r="C21" s="4" t="inlineStr">
        <is>
          <t>Orquestador</t>
        </is>
      </c>
      <c r="D21" s="4" t="inlineStr">
        <is>
          <t>02.02.*</t>
        </is>
      </c>
      <c r="E21" s="4" t="inlineStr">
        <is>
          <t>En curso</t>
        </is>
      </c>
      <c r="F21" s="4" t="inlineStr"/>
      <c r="G21" s="4" t="inlineStr">
        <is>
          <t>FICHA SEGUNDA PASADA (02/08): PUNTO DE PARTIDA: la primera pasada dio RECHAZA el 31/07 con 7 motivos, y ese veredicto solo existe dentro de esta celda del WBS: no hay artefacto en disco. Entremedias el CEO aprobó los siete criterios de G1 en D-11 (00-direccion/DECISIONES.md), que dice resolver parte de esos motivos. ALCANCE — un veredicto por cada uno de los 7 motivos, con la etiqueta CERRADO o ABIERTO y la prueba al lado: (1) Dos criterios de G1 sin dato («cientos de operaciones posibles» y […] texto completo en 00-direccion/WBS.md</t>
        </is>
      </c>
    </row>
    <row r="22">
      <c r="A22" s="13" t="inlineStr">
        <is>
          <t>02.03.02</t>
        </is>
      </c>
      <c r="B22" s="4" t="inlineStr">
        <is>
          <t>Informe de decisión: 3-5 mercados poco correlacionados + 1-2 velas</t>
        </is>
      </c>
      <c r="C22" s="4" t="inlineStr">
        <is>
          <t>Orquestador</t>
        </is>
      </c>
      <c r="D22" s="4" t="inlineStr">
        <is>
          <t>02.03.01</t>
        </is>
      </c>
      <c r="E22" s="4" t="inlineStr">
        <is>
          <t>Pendiente</t>
        </is>
      </c>
      <c r="F22" s="4" t="inlineStr"/>
      <c r="G22" s="4" t="inlineStr"/>
    </row>
    <row r="23">
      <c r="A23" s="13" t="inlineStr">
        <is>
          <t>02.03.03</t>
        </is>
      </c>
      <c r="B23" s="4" t="inlineStr">
        <is>
          <t>PUERTA G1: el CEO elige</t>
        </is>
      </c>
      <c r="C23" s="28" t="inlineStr">
        <is>
          <t>CEO</t>
        </is>
      </c>
      <c r="D23" s="4" t="inlineStr">
        <is>
          <t>02.03.02</t>
        </is>
      </c>
      <c r="E23" s="4" t="inlineStr">
        <is>
          <t>Pendiente</t>
        </is>
      </c>
      <c r="F23" s="4" t="inlineStr"/>
      <c r="G23" s="4" t="inlineStr"/>
    </row>
    <row r="24" ht="20" customHeight="1">
      <c r="A24" s="36" t="inlineStr">
        <is>
          <t>03</t>
        </is>
      </c>
      <c r="B24" s="37" t="inlineStr">
        <is>
          <t>MONTAR LA CASA (CLAUDE CODE) — EN PARALELO CON LA FASE 02</t>
        </is>
      </c>
      <c r="C24" s="37" t="n"/>
      <c r="D24" s="37" t="n"/>
      <c r="E24" s="37" t="n"/>
      <c r="F24" s="37" t="n"/>
      <c r="G24" s="37" t="n"/>
    </row>
    <row r="25">
      <c r="A25" s="13" t="inlineStr">
        <is>
          <t>03.01.01</t>
        </is>
      </c>
      <c r="B25" s="4" t="inlineStr">
        <is>
          <t>Repositorio: carpetas, WBS texto, CLAUDE.md, DECISIONES.md, LECCIONES.md</t>
        </is>
      </c>
      <c r="C25" s="4" t="inlineStr">
        <is>
          <t>Constructores</t>
        </is>
      </c>
      <c r="D25" s="4" t="inlineStr">
        <is>
          <t>01.01.01</t>
        </is>
      </c>
      <c r="E25" s="4" t="inlineStr">
        <is>
          <t>Hecha</t>
        </is>
      </c>
      <c r="F25" s="4" t="inlineStr">
        <is>
          <t>30/07 — repo completo: carpetas, WBS, CLAUDE.md, DECISIONES.md, LECCIONES.md, plantillas y .gitignore (42 ficheros en git). AVISO regla 27 de CLAUDE.md NO VERIFICADA**: la prueba de inyección de datos no se ha ejecutado; 02-datos/ está vacío. Se ejecuta al bajar los primeros precios en 02.02.01</t>
        </is>
      </c>
      <c r="G25" s="4" t="inlineStr"/>
    </row>
    <row r="26">
      <c r="A26" s="13" t="inlineStr">
        <is>
          <t>03.01.02</t>
        </is>
      </c>
      <c r="B26" s="4" t="inlineStr">
        <is>
          <t>Crear TODOS los agentes del Equipo, cada uno con su modelo y descripción sin ambigüedad; prueba de activación de todos (ningún agente fantasma)</t>
        </is>
      </c>
      <c r="C26" s="4" t="inlineStr">
        <is>
          <t>Constructores</t>
        </is>
      </c>
      <c r="D26" s="4" t="inlineStr">
        <is>
          <t>03.01.01, 01.02.01</t>
        </is>
      </c>
      <c r="E26" s="4" t="inlineStr">
        <is>
          <t>Hecha</t>
        </is>
      </c>
      <c r="F26" s="4" t="inlineStr">
        <is>
          <t>** 30/07 — 8 agentes en .claude/agents/, cada uno con identificador exacto de modelo y respaldo. Prueba de activación ejecutada 30/07: los 8 respondieron y leyeron un fichero real, ningún fantasma. LÍMITE: la prueba no demuestra que el modelo enrutado sea el de la ficha; se verifica en 03.01.04, con atención a claude-fable-5 (validador y arquitecto)</t>
        </is>
      </c>
      <c r="G26" s="4" t="inlineStr"/>
    </row>
    <row r="27">
      <c r="A27" s="13" t="inlineStr">
        <is>
          <t>03.01.03</t>
        </is>
      </c>
      <c r="B27" s="4" t="inlineStr">
        <is>
          <t>Ejecución desatendida: arranques programados, permisos AMPLIOS por defecto (git como red de seguridad) y topes de gasto</t>
        </is>
      </c>
      <c r="C27" s="4" t="inlineStr">
        <is>
          <t>Constructores</t>
        </is>
      </c>
      <c r="D27" s="4" t="inlineStr">
        <is>
          <t>03.01.02</t>
        </is>
      </c>
      <c r="E27" s="4" t="inlineStr">
        <is>
          <t>Pendiente</t>
        </is>
      </c>
      <c r="F27" s="4" t="inlineStr"/>
      <c r="G27" s="4" t="inlineStr"/>
    </row>
    <row r="28">
      <c r="A28" s="13" t="inlineStr">
        <is>
          <t>03.01.04</t>
        </is>
      </c>
      <c r="B28" s="4" t="inlineStr">
        <is>
          <t>Plan de respaldo de modelos: si un modelo no está disponible o rechaza, el agente sigue con su respaldo y lo anota</t>
        </is>
      </c>
      <c r="C28" s="4" t="inlineStr">
        <is>
          <t>Constructores</t>
        </is>
      </c>
      <c r="D28" s="4" t="inlineStr">
        <is>
          <t>03.01.02</t>
        </is>
      </c>
      <c r="E28" s="4" t="inlineStr">
        <is>
          <t>Pendiente</t>
        </is>
      </c>
      <c r="F28" s="4" t="inlineStr"/>
      <c r="G28" s="4" t="inlineStr"/>
    </row>
    <row r="29">
      <c r="A29" s="13" t="inlineStr">
        <is>
          <t>03.01.05</t>
        </is>
      </c>
      <c r="B29" s="4" t="inlineStr">
        <is>
          <t>PRUEBA REAL DEL MOTOR: un día entero de trabajo desatendido de verdad antes de dar la fase por buena</t>
        </is>
      </c>
      <c r="C29" s="4" t="inlineStr">
        <is>
          <t>Orquestador</t>
        </is>
      </c>
      <c r="D29" s="4" t="inlineStr">
        <is>
          <t>03.01.03, 03.01.04</t>
        </is>
      </c>
      <c r="E29" s="4" t="inlineStr">
        <is>
          <t>Pendiente</t>
        </is>
      </c>
      <c r="F29" s="4" t="inlineStr"/>
      <c r="G29" s="4" t="inlineStr"/>
    </row>
    <row r="30">
      <c r="A30" s="13" t="inlineStr">
        <is>
          <t>03.01.06</t>
        </is>
      </c>
      <c r="B30" s="4" t="inlineStr">
        <is>
          <t>Plantilla y automatismo de fichas de decisión: el secretario prepara cada decisión del CEO en el formato obligatorio y la adjunta al informe semanal</t>
        </is>
      </c>
      <c r="C30" s="4" t="inlineStr">
        <is>
          <t>Secretario</t>
        </is>
      </c>
      <c r="D30" s="4" t="inlineStr">
        <is>
          <t>03.01.02</t>
        </is>
      </c>
      <c r="E30" s="4" t="inlineStr">
        <is>
          <t>Pendiente</t>
        </is>
      </c>
      <c r="F30" s="4" t="inlineStr"/>
      <c r="G30" s="4" t="inlineStr"/>
    </row>
    <row r="31">
      <c r="A31" s="13" t="inlineStr">
        <is>
          <t>03.01.07</t>
        </is>
      </c>
      <c r="B31" s="4" t="inlineStr">
        <is>
          <t>Cola de aprobación del CEO: tabla con desplegable Aprobado / Saltar / Corregir y columna de corrección. Lo aprobado se ejecuta solo; lo corregido se rehace Y la corrección se guarda en LECCIONES.md</t>
        </is>
      </c>
      <c r="C31" s="4" t="inlineStr">
        <is>
          <t>Secretario</t>
        </is>
      </c>
      <c r="D31" s="4" t="inlineStr">
        <is>
          <t>03.01.06</t>
        </is>
      </c>
      <c r="E31" s="4" t="inlineStr">
        <is>
          <t>Pendiente</t>
        </is>
      </c>
      <c r="F31" s="4" t="inlineStr"/>
      <c r="G31" s="4" t="inlineStr"/>
    </row>
    <row r="32">
      <c r="A32" s="13" t="inlineStr">
        <is>
          <t>03.01.08</t>
        </is>
      </c>
      <c r="B32" s="4" t="inlineStr">
        <is>
          <t>Prueba de fuego de las barreras (regla 25 de CLAUDE.md): inyectar cada caso prohibido —leer el cajón reservado, escribir fuera del proyecto, borrar datos, gastar dinero— y comprobar que se bloquea de verdad. Lo que no se bloquee se marca "no verificada"</t>
        </is>
      </c>
      <c r="C32" s="4" t="inlineStr">
        <is>
          <t>Crítico</t>
        </is>
      </c>
      <c r="D32" s="4" t="inlineStr">
        <is>
          <t>03.01.03</t>
        </is>
      </c>
      <c r="E32" s="4" t="inlineStr">
        <is>
          <t>En curso</t>
        </is>
      </c>
      <c r="F32" s="4" t="inlineStr">
        <is>
          <t>ejecutada la primera pasada 31/07 con verificar_barreras.py: 4 barreras de 5 VERIFICADAS por ejecucion (hooks instalados, datos rechazados en commit, .gitignore ignora 02-datos, mensaje exige codigo WBS). 1 NO VERIFICADA: el cajon reservado era un filtro de texto sobre el comando. Se remedia en 03.01.11 (D-10). No se cierra hasta repetir la pasada con 03.01.11 terminada</t>
        </is>
      </c>
      <c r="G32" s="4" t="inlineStr"/>
    </row>
    <row r="33">
      <c r="A33" s="13" t="inlineStr">
        <is>
          <t>03.01.09</t>
        </is>
      </c>
      <c r="B33" s="4" t="inlineStr">
        <is>
          <t>Enrutado por tipo de tarea y comprobación de que el WBS genera tareas de cada tipo de agente (ver L-010 de LECCIONES.md; sin número propio en CLAUDE.md)</t>
        </is>
      </c>
      <c r="C33" s="4" t="inlineStr">
        <is>
          <t>Constructores</t>
        </is>
      </c>
      <c r="D33" s="4" t="inlineStr">
        <is>
          <t>03.01.02</t>
        </is>
      </c>
      <c r="E33" s="4" t="inlineStr">
        <is>
          <t>Pendiente</t>
        </is>
      </c>
      <c r="F33" s="4" t="inlineStr"/>
      <c r="G33" s="4" t="inlineStr"/>
    </row>
    <row r="34">
      <c r="A34" s="13" t="inlineStr">
        <is>
          <t>03.01.10</t>
        </is>
      </c>
      <c r="B34" s="4" t="inlineStr">
        <is>
          <t>Testbed sintético de invarianza: resultado de referencia fijo que debe reproducirse tras cualquier cambio del motor</t>
        </is>
      </c>
      <c r="C34" s="4" t="inlineStr">
        <is>
          <t>Constructores</t>
        </is>
      </c>
      <c r="D34" s="4" t="inlineStr">
        <is>
          <t>03.01.01</t>
        </is>
      </c>
      <c r="E34" s="4" t="inlineStr">
        <is>
          <t>Pendiente</t>
        </is>
      </c>
      <c r="F34" s="4" t="inlineStr"/>
      <c r="G34" s="4" t="inlineStr"/>
    </row>
    <row r="35">
      <c r="A35" s="13" t="inlineStr">
        <is>
          <t>03.01.13</t>
        </is>
      </c>
      <c r="B35" s="4" t="inlineStr">
        <is>
          <t>NUEVA 01/08 (L-015): una sola lista de reglas. Hoy CLAUDE.md y este WBS llevan cada uno una lista de «29 reglas» con contenido distinto bajo el mismo número, así que toda cita regla N del proyecto es ambigua</t>
        </is>
      </c>
      <c r="C35" s="28" t="inlineStr">
        <is>
          <t>Constructores + CEO</t>
        </is>
      </c>
      <c r="D35" s="4" t="inlineStr">
        <is>
          <t>—</t>
        </is>
      </c>
      <c r="E35" s="4" t="inlineStr">
        <is>
          <t>Hecha</t>
        </is>
      </c>
      <c r="F35" s="4" t="inlineStr"/>
      <c r="G35" s="4" t="inlineStr">
        <is>
          <t>FICHA (01/08): Hallazgo, comprobado por grep sobre los dos ficheros el 01/08: regla 16 = «nadie valida su propio trabajo» (CLAUDE.md) frente a «test de compuerta» (WBS) · regla 23 = «dos niveles de barrera» frente a «un fallo reportado no es un fallo verificado» · regla 25 = «toda barrera se verifica por ejecución» frente a «cada agente lleva el identificador exacto de su modelo». Por qué importa: la regla 12 de CLAUDE.md exige que toda cita se localice con grep antes de entrar en un informe; […] texto completo en 00-direccion/WBS.md</t>
        </is>
      </c>
    </row>
    <row r="36">
      <c r="A36" s="13" t="inlineStr">
        <is>
          <t>03.01.12</t>
        </is>
      </c>
      <c r="B36" s="4" t="inlineStr">
        <is>
          <t>NUEVA 01/08 (petición del CEO): fijar la estrategia de ramas de git. Criterio del CEO, literal: que dé agilidad, no complejidad</t>
        </is>
      </c>
      <c r="C36" s="4" t="inlineStr">
        <is>
          <t>Constructores</t>
        </is>
      </c>
      <c r="D36" s="4" t="inlineStr">
        <is>
          <t>03.01.01</t>
        </is>
      </c>
      <c r="E36" s="4" t="inlineStr">
        <is>
          <t>Pendiente</t>
        </is>
      </c>
      <c r="F36" s="4" t="inlineStr"/>
      <c r="G36" s="4" t="inlineStr">
        <is>
          <t>FICHA (01/08): Estado de partida, comprobado por ejecución el 01/08: git branch -a → una sola rama, main · git remote -v → vacío, no hay remoto · 16 commits · un solo humano. Alcance: decidir y dejar escrito (a) cuándo se trabaja en main y cuándo no, (b) si se usan worktrees y para qué, (c) qué NO se hace. Lo que ya se sabe y no hay que volver a investigar: Claude Code 2.1.220 trae worktrees nativos (claude --worktree &lt;nombre&gt;, y isolation: worktree en la ficha de un subagente) · los worktrees […] texto completo en 00-direccion/WBS.md</t>
        </is>
      </c>
    </row>
    <row r="37">
      <c r="A37" s="13" t="inlineStr">
        <is>
          <t>03.01.11</t>
        </is>
      </c>
      <c r="B37" s="4" t="inlineStr">
        <is>
          <t>NUEVA 31/07 (D-10): guardia del cajon reservado por cifrado. Script cajon_reservado.py: la contraseña solo la tiene el CEO, no se guarda, se pide en cada operacion y nada se descifra a disco</t>
        </is>
      </c>
      <c r="C37" s="4" t="inlineStr">
        <is>
          <t>Constructores</t>
        </is>
      </c>
      <c r="D37" s="4" t="inlineStr">
        <is>
          <t>03.01.08</t>
        </is>
      </c>
      <c r="E37" s="4" t="inlineStr">
        <is>
          <t>En curso</t>
        </is>
      </c>
      <c r="F37" s="4" t="inlineStr">
        <is>
          <t>script escrito y probado por ejecucion 31/07: 6 de 6 casos prohibidos bloqueados (contraseña por tuberia, abrir sin declarar variante, lectura a pelo del fichero cifrado, contraseña incorrecta, y ninguna orden de terminal vuelca datos en claro). FALTA: que el CEO ejecute sellar en una terminal real para fijar la contraseña. ARTEFACTO (localizado en 07.01.01(c), 02/08): 04-resultados/registro-cajon.md, escrito por 03-motor/scripts/cajon_reservado.py y citado en D-10; ya tiene una entrada SELLAR del 31/07.</t>
        </is>
      </c>
      <c r="G37" s="4" t="inlineStr"/>
    </row>
    <row r="38">
      <c r="A38" s="13" t="inlineStr">
        <is>
          <t>03.01.14</t>
        </is>
      </c>
      <c r="B38"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C38" s="4" t="inlineStr">
        <is>
          <t>Constructores</t>
        </is>
      </c>
      <c r="D38" s="4" t="inlineStr">
        <is>
          <t>03.01.13</t>
        </is>
      </c>
      <c r="E38" s="4" t="inlineStr">
        <is>
          <t>Pendiente</t>
        </is>
      </c>
      <c r="F38" s="4" t="inlineStr">
        <is>
          <t>**</t>
        </is>
      </c>
      <c r="G38" s="4" t="inlineStr"/>
    </row>
    <row r="39">
      <c r="A39" s="13" t="inlineStr">
        <is>
          <t>03.01.15</t>
        </is>
      </c>
      <c r="B39" s="4" t="inlineStr">
        <is>
          <t>Herramientas del secretario: puede escribir los registros que solo admiten añadir pero no puede verificarlos</t>
        </is>
      </c>
      <c r="C39" s="4" t="inlineStr">
        <is>
          <t>Constructores</t>
        </is>
      </c>
      <c r="D39" s="4" t="inlineStr">
        <is>
          <t>03.01.02</t>
        </is>
      </c>
      <c r="E39" s="4" t="inlineStr">
        <is>
          <t>Pendiente</t>
        </is>
      </c>
      <c r="F39" s="4" t="inlineStr"/>
      <c r="G39" s="4" t="inlineStr">
        <is>
          <t>NUEVA 02/08 (tres incidentes reales el 02/08): secretario mantiene los tres registros que solo admiten añadir y todas las fichas del CEO, y no tiene Bash: no puede comprobar por ejecución ninguna de las reglas que gobiernan su trabajo. El 02/08 falló tres veces por lo mismo — no pudo verificar el pegado en tabla, ni el append-only, ni el ancho de su ficha — y las tres las descubrió otro agente, que es la regla 15 de CLAUDE.md rota por diseño, no por descuido. Decidir entre dos salidas, y NO se […] texto completo en 00-direccion/WBS.md</t>
        </is>
      </c>
    </row>
    <row r="40" ht="20" customHeight="1">
      <c r="A40" s="36" t="inlineStr">
        <is>
          <t>04</t>
        </is>
      </c>
      <c r="B40" s="37" t="inlineStr">
        <is>
          <t>HIPÓTESIS Y VALIDACIÓN (PUERTA G2)</t>
        </is>
      </c>
      <c r="C40" s="37" t="n"/>
      <c r="D40" s="37" t="n"/>
      <c r="E40" s="37" t="n"/>
      <c r="F40" s="37" t="n"/>
      <c r="G40" s="37" t="n"/>
    </row>
    <row r="41">
      <c r="A41" s="38" t="inlineStr">
        <is>
          <t>04.01</t>
        </is>
      </c>
      <c r="B41" s="39" t="inlineStr">
        <is>
          <t>Broker y cajones de datos</t>
        </is>
      </c>
      <c r="C41" s="39" t="n"/>
      <c r="D41" s="39" t="n"/>
      <c r="E41" s="39" t="n"/>
      <c r="F41" s="39" t="n"/>
      <c r="G41" s="39" t="n"/>
    </row>
    <row r="42">
      <c r="A42" s="13" t="inlineStr">
        <is>
          <t>04.01.01</t>
        </is>
      </c>
      <c r="B42" s="4" t="inlineStr">
        <is>
          <t>Comparar 3-4 brokers del mercado elegido; elegir uno y abrir demo (CEO firma)</t>
        </is>
      </c>
      <c r="C42" s="28" t="inlineStr">
        <is>
          <t>CEO + Orquestador</t>
        </is>
      </c>
      <c r="D42" s="4" t="inlineStr">
        <is>
          <t>02.03.03</t>
        </is>
      </c>
      <c r="E42" s="4" t="inlineStr">
        <is>
          <t>Pendiente</t>
        </is>
      </c>
      <c r="F42" s="4" t="inlineStr"/>
      <c r="G42" s="4" t="inlineStr"/>
    </row>
    <row r="43">
      <c r="A43" s="13" t="inlineStr">
        <is>
          <t>04.01.02</t>
        </is>
      </c>
      <c r="B43" s="4" t="inlineStr">
        <is>
          <t>Recalcular costes con precios reales del broker (sustituye 02.01.02)</t>
        </is>
      </c>
      <c r="C43" s="4" t="inlineStr">
        <is>
          <t>Constructor datos</t>
        </is>
      </c>
      <c r="D43" s="4" t="inlineStr">
        <is>
          <t>04.01.01</t>
        </is>
      </c>
      <c r="E43" s="4" t="inlineStr">
        <is>
          <t>Pendiente</t>
        </is>
      </c>
      <c r="F43" s="4" t="inlineStr"/>
      <c r="G43" s="4" t="inlineStr"/>
    </row>
    <row r="44">
      <c r="A44" s="13" t="inlineStr">
        <is>
          <t>04.01.03</t>
        </is>
      </c>
      <c r="B44" s="4" t="inlineStr">
        <is>
          <t>Histórico limpio partido en 3 cajones: construir (train), ajustar (validación) y RESERVADO bajo llave (OOS, se abre una sola vez por variante). Ningún agente toca el reservado</t>
        </is>
      </c>
      <c r="C44" s="4" t="inlineStr">
        <is>
          <t>Constructor datos</t>
        </is>
      </c>
      <c r="D44" s="4" t="inlineStr">
        <is>
          <t>04.01.01</t>
        </is>
      </c>
      <c r="E44" s="4" t="inlineStr">
        <is>
          <t>Pendiente</t>
        </is>
      </c>
      <c r="F44" s="4" t="inlineStr"/>
      <c r="G44" s="4" t="inlineStr"/>
    </row>
    <row r="45">
      <c r="A45" s="38" t="inlineStr">
        <is>
          <t>04.02</t>
        </is>
      </c>
      <c r="B45" s="39" t="inlineStr">
        <is>
          <t>Investigación de hipótesis</t>
        </is>
      </c>
      <c r="C45" s="39" t="n"/>
      <c r="D45" s="39" t="n"/>
      <c r="E45" s="39" t="n"/>
      <c r="F45" s="39" t="n"/>
      <c r="G45" s="39" t="n"/>
    </row>
    <row r="46">
      <c r="A46" s="13" t="inlineStr">
        <is>
          <t>04.02.01</t>
        </is>
      </c>
      <c r="B46" s="4" t="inlineStr">
        <is>
          <t>Barrido de fuentes: papers, libros, foros, GitHub, X. Regla: mínimo 2 fuentes independientes verificables por idea; vendedores de cursos/señales no son fuente</t>
        </is>
      </c>
      <c r="C46" s="4" t="inlineStr">
        <is>
          <t>Investigador</t>
        </is>
      </c>
      <c r="D46" s="4" t="inlineStr">
        <is>
          <t>03.01.02</t>
        </is>
      </c>
      <c r="E46" s="4" t="inlineStr">
        <is>
          <t>Pendiente</t>
        </is>
      </c>
      <c r="F46" s="4" t="inlineStr"/>
      <c r="G46" s="4" t="inlineStr"/>
    </row>
    <row r="47">
      <c r="A47" s="13" t="inlineStr">
        <is>
          <t>04.02.02</t>
        </is>
      </c>
      <c r="B47" s="4" t="inlineStr">
        <is>
          <t>Ficha por hipótesis: por qué existiría la ventaja, reglas de entrada/salida, mercado y vela. Sin lógica de por qué gana, no entra (nada de probar por probar)</t>
        </is>
      </c>
      <c r="C47" s="4" t="inlineStr">
        <is>
          <t>Investigador</t>
        </is>
      </c>
      <c r="D47" s="4" t="inlineStr">
        <is>
          <t>04.02.01</t>
        </is>
      </c>
      <c r="E47" s="4" t="inlineStr">
        <is>
          <t>Pendiente</t>
        </is>
      </c>
      <c r="F47" s="4" t="inlineStr"/>
      <c r="G47" s="4" t="inlineStr"/>
    </row>
    <row r="48">
      <c r="A48" s="13" t="inlineStr">
        <is>
          <t>04.02.03</t>
        </is>
      </c>
      <c r="B48" s="4" t="inlineStr">
        <is>
          <t>Filtro de sentido: el Validador puntúa y se eligen las 3-5 mejores</t>
        </is>
      </c>
      <c r="C48" s="4" t="inlineStr">
        <is>
          <t>Validador</t>
        </is>
      </c>
      <c r="D48" s="4" t="inlineStr">
        <is>
          <t>04.02.02</t>
        </is>
      </c>
      <c r="E48" s="4" t="inlineStr">
        <is>
          <t>Pendiente</t>
        </is>
      </c>
      <c r="F48" s="4" t="inlineStr"/>
      <c r="G48" s="4" t="inlineStr"/>
    </row>
    <row r="49">
      <c r="A49" s="13" t="inlineStr">
        <is>
          <t>04.02.04</t>
        </is>
      </c>
      <c r="B49" s="4" t="inlineStr">
        <is>
          <t>Pre-registro de variantes: cada hipótesis deja escritas sus variantes ANTES de probar (máx. 5-7 por hipótesis). Lo no registrado no se prueba</t>
        </is>
      </c>
      <c r="C49" s="4" t="inlineStr">
        <is>
          <t>Validador</t>
        </is>
      </c>
      <c r="D49" s="4" t="inlineStr">
        <is>
          <t>04.02.03</t>
        </is>
      </c>
      <c r="E49" s="4" t="inlineStr">
        <is>
          <t>Pendiente</t>
        </is>
      </c>
      <c r="F49" s="4" t="inlineStr"/>
      <c r="G49" s="4" t="inlineStr"/>
    </row>
    <row r="50">
      <c r="A50" s="38" t="inlineStr">
        <is>
          <t>04.03</t>
        </is>
      </c>
      <c r="B50" s="39" t="inlineStr">
        <is>
          <t>Laboratorio de pruebas (por hipótesis y variante)</t>
        </is>
      </c>
      <c r="C50" s="39" t="n"/>
      <c r="D50" s="39" t="n"/>
      <c r="E50" s="39" t="n"/>
      <c r="F50" s="39" t="n"/>
      <c r="G50" s="39" t="n"/>
    </row>
    <row r="51">
      <c r="A51" s="13" t="inlineStr">
        <is>
          <t>04.03.01</t>
        </is>
      </c>
      <c r="B51" s="4" t="inlineStr">
        <is>
          <t>Backtest con costes reales sobre el cajón de construir</t>
        </is>
      </c>
      <c r="C51" s="4" t="inlineStr">
        <is>
          <t>Constructores</t>
        </is>
      </c>
      <c r="D51" s="4" t="inlineStr">
        <is>
          <t>04.01.03, 04.02.04</t>
        </is>
      </c>
      <c r="E51" s="4" t="inlineStr">
        <is>
          <t>Pendiente</t>
        </is>
      </c>
      <c r="F51" s="4" t="inlineStr"/>
      <c r="G51" s="4" t="inlineStr"/>
    </row>
    <row r="52">
      <c r="A52" s="13" t="inlineStr">
        <is>
          <t>04.03.02</t>
        </is>
      </c>
      <c r="B52" s="4" t="inlineStr">
        <is>
          <t>Ajuste SOLO con el cajón de validación; lo que no aguanta, muere aquí</t>
        </is>
      </c>
      <c r="C52" s="4" t="inlineStr">
        <is>
          <t>Constructores</t>
        </is>
      </c>
      <c r="D52" s="4" t="inlineStr">
        <is>
          <t>04.03.01</t>
        </is>
      </c>
      <c r="E52" s="4" t="inlineStr">
        <is>
          <t>Pendiente</t>
        </is>
      </c>
      <c r="F52" s="4" t="inlineStr"/>
      <c r="G52" s="4" t="inlineStr"/>
    </row>
    <row r="53">
      <c r="A53" s="13" t="inlineStr">
        <is>
          <t>04.03.03</t>
        </is>
      </c>
      <c r="B53" s="4" t="inlineStr">
        <is>
          <t>Prueba de fuego: UNA sola pasada por variante sobre el cajón reservado (OOS). Repetir sería hacerse trampa</t>
        </is>
      </c>
      <c r="C53" s="4" t="inlineStr">
        <is>
          <t>Validador</t>
        </is>
      </c>
      <c r="D53" s="4" t="inlineStr">
        <is>
          <t>04.03.02</t>
        </is>
      </c>
      <c r="E53" s="4" t="inlineStr">
        <is>
          <t>Pendiente</t>
        </is>
      </c>
      <c r="F53" s="4" t="inlineStr"/>
      <c r="G53" s="4" t="inlineStr"/>
    </row>
    <row r="54">
      <c r="A54" s="13" t="inlineStr">
        <is>
          <t>04.03.04</t>
        </is>
      </c>
      <c r="B54" s="4" t="inlineStr">
        <is>
          <t>Robustez: Monte Carlo (barajar el orden de operaciones y meter pequeños cambios miles de veces: ¿aguanta o era suerte?) + walk-forward (repetir el ajuste avanzando en el tiempo)</t>
        </is>
      </c>
      <c r="C54" s="4" t="inlineStr">
        <is>
          <t>Validador</t>
        </is>
      </c>
      <c r="D54" s="4" t="inlineStr">
        <is>
          <t>04.03.03</t>
        </is>
      </c>
      <c r="E54" s="4" t="inlineStr">
        <is>
          <t>Pendiente</t>
        </is>
      </c>
      <c r="F54" s="4" t="inlineStr"/>
      <c r="G54" s="4" t="inlineStr"/>
    </row>
    <row r="55">
      <c r="A55" s="13" t="inlineStr">
        <is>
          <t>04.03.05</t>
        </is>
      </c>
      <c r="B55" s="4" t="inlineStr">
        <is>
          <t>Veredicto pasa/no pasa por variante, con los criterios de G2. Quien construyó no vota</t>
        </is>
      </c>
      <c r="C55" s="4" t="inlineStr">
        <is>
          <t>Validador</t>
        </is>
      </c>
      <c r="D55" s="4" t="inlineStr">
        <is>
          <t>04.03.04</t>
        </is>
      </c>
      <c r="E55" s="4" t="inlineStr">
        <is>
          <t>Pendiente</t>
        </is>
      </c>
      <c r="F55" s="4" t="inlineStr"/>
      <c r="G55" s="4" t="inlineStr"/>
    </row>
    <row r="56">
      <c r="A56" s="38" t="inlineStr">
        <is>
          <t>04.04</t>
        </is>
      </c>
      <c r="B56" s="39" t="inlineStr">
        <is>
          <t>Decisión y bucle</t>
        </is>
      </c>
      <c r="C56" s="39" t="n"/>
      <c r="D56" s="39" t="n"/>
      <c r="E56" s="39" t="n"/>
      <c r="F56" s="39" t="n"/>
      <c r="G56" s="39" t="n"/>
    </row>
    <row r="57">
      <c r="A57" s="13" t="inlineStr">
        <is>
          <t>04.04.01</t>
        </is>
      </c>
      <c r="B57" s="4" t="inlineStr">
        <is>
          <t>Informe de la vuelta: qué pasó, qué murió y por qué. Registro de TODAS las pruebas, también fallidas</t>
        </is>
      </c>
      <c r="C57" s="4" t="inlineStr">
        <is>
          <t>Secretario</t>
        </is>
      </c>
      <c r="D57" s="4" t="inlineStr">
        <is>
          <t>04.03.05</t>
        </is>
      </c>
      <c r="E57" s="4" t="inlineStr">
        <is>
          <t>Pendiente</t>
        </is>
      </c>
      <c r="F57" s="4" t="inlineStr"/>
      <c r="G57" s="4" t="inlineStr"/>
    </row>
    <row r="58">
      <c r="A58" s="13" t="inlineStr">
        <is>
          <t>04.04.02</t>
        </is>
      </c>
      <c r="B58" s="4" t="inlineStr">
        <is>
          <t>Si ninguna pasa: volver a 04.02 con lecciones (vuelta 2, 3…). Tras la 3ª vuelta sin éxito: revisión completa del planteamiento con el CEO</t>
        </is>
      </c>
      <c r="C58" s="4" t="inlineStr">
        <is>
          <t>Orquestador</t>
        </is>
      </c>
      <c r="D58" s="4" t="inlineStr">
        <is>
          <t>04.04.01</t>
        </is>
      </c>
      <c r="E58" s="4" t="inlineStr">
        <is>
          <t>Pendiente</t>
        </is>
      </c>
      <c r="F58" s="4" t="inlineStr"/>
      <c r="G58" s="4" t="inlineStr"/>
    </row>
    <row r="59">
      <c r="A59" s="13" t="inlineStr">
        <is>
          <t>04.04.03</t>
        </is>
      </c>
      <c r="B59" s="4" t="inlineStr">
        <is>
          <t>PUERTA G2: el CEO decide qué pasa a demo</t>
        </is>
      </c>
      <c r="C59" s="28" t="inlineStr">
        <is>
          <t>CEO</t>
        </is>
      </c>
      <c r="D59" s="4" t="inlineStr">
        <is>
          <t>04.04.01</t>
        </is>
      </c>
      <c r="E59" s="4" t="inlineStr">
        <is>
          <t>Pendiente</t>
        </is>
      </c>
      <c r="F59" s="4" t="inlineStr"/>
      <c r="G59" s="4" t="inlineStr"/>
    </row>
    <row r="60" ht="20" customHeight="1">
      <c r="A60" s="36" t="inlineStr">
        <is>
          <t>05</t>
        </is>
      </c>
      <c r="B60" s="37" t="inlineStr">
        <is>
          <t>DEMO (PUERTA G3) — SE DETALLA AL CERRAR G2</t>
        </is>
      </c>
      <c r="C60" s="37" t="n"/>
      <c r="D60" s="37" t="n"/>
      <c r="E60" s="37" t="n"/>
      <c r="F60" s="37" t="n"/>
      <c r="G60" s="37" t="n"/>
    </row>
    <row r="61">
      <c r="A61" s="13" t="inlineStr">
        <is>
          <t>05.01.01</t>
        </is>
      </c>
      <c r="B61" s="4" t="inlineStr">
        <is>
          <t>Bot en demo, solo y con guardias automáticos</t>
        </is>
      </c>
      <c r="C61" s="4" t="inlineStr">
        <is>
          <t>Constructores</t>
        </is>
      </c>
      <c r="D61" s="4" t="inlineStr">
        <is>
          <t>04.04.03</t>
        </is>
      </c>
      <c r="E61" s="4" t="inlineStr">
        <is>
          <t>Pendiente</t>
        </is>
      </c>
      <c r="F61" s="4" t="inlineStr">
        <is>
          <t>REQUISITO AÑADIDO POR D-14 (01/08): el guardia de parada dura (-30% del capital inicial) lo aplica el BOT de forma CONTINUA, no una revision periodica; comprobado solo una vez al mes, un -30% puede ser un -45% cuando alguien mire. Se verifica por inyeccion antes de declararlo activo (regla 25 de CLAUDE.md).</t>
        </is>
      </c>
      <c r="G61" s="4" t="inlineStr"/>
    </row>
    <row r="62">
      <c r="A62" s="13" t="inlineStr">
        <is>
          <t>05.01.02</t>
        </is>
      </c>
      <c r="B62" s="4" t="inlineStr">
        <is>
          <t>Seguimiento semanal real vs. prometido (8-12 semanas)</t>
        </is>
      </c>
      <c r="C62" s="4" t="inlineStr">
        <is>
          <t>Secretario</t>
        </is>
      </c>
      <c r="D62" s="4" t="inlineStr">
        <is>
          <t>05.01.01</t>
        </is>
      </c>
      <c r="E62" s="4" t="inlineStr">
        <is>
          <t>Pendiente</t>
        </is>
      </c>
      <c r="F62" s="4" t="inlineStr"/>
      <c r="G62" s="4" t="inlineStr"/>
    </row>
    <row r="63">
      <c r="A63" s="13" t="inlineStr">
        <is>
          <t>05.01.03</t>
        </is>
      </c>
      <c r="B63" s="4" t="inlineStr">
        <is>
          <t>PUERTA G3: CEO decide dinero, cuánto y pérdida máxima</t>
        </is>
      </c>
      <c r="C63" s="28" t="inlineStr">
        <is>
          <t>CEO</t>
        </is>
      </c>
      <c r="D63" s="4" t="inlineStr">
        <is>
          <t>05.01.02</t>
        </is>
      </c>
      <c r="E63" s="4" t="inlineStr">
        <is>
          <t>Pendiente</t>
        </is>
      </c>
      <c r="F63" s="4" t="inlineStr"/>
      <c r="G63" s="4" t="inlineStr"/>
    </row>
    <row r="64" ht="20" customHeight="1">
      <c r="A64" s="36" t="inlineStr">
        <is>
          <t>06</t>
        </is>
      </c>
      <c r="B64" s="37" t="inlineStr">
        <is>
          <t>REAL (PUERTA G4) — SE DETALLA AL CERRAR G3</t>
        </is>
      </c>
      <c r="C64" s="37" t="n"/>
      <c r="D64" s="37" t="n"/>
      <c r="E64" s="37" t="n"/>
      <c r="F64" s="37" t="n"/>
      <c r="G64" s="37" t="n"/>
    </row>
    <row r="65">
      <c r="A65" s="13" t="inlineStr">
        <is>
          <t>06.01.01</t>
        </is>
      </c>
      <c r="B65" s="4" t="inlineStr">
        <is>
          <t>Dinero pequeño respetando los límites de 01.01.03</t>
        </is>
      </c>
      <c r="C65" s="4" t="inlineStr">
        <is>
          <t>Constructores</t>
        </is>
      </c>
      <c r="D65" s="4" t="inlineStr">
        <is>
          <t>05.01.03</t>
        </is>
      </c>
      <c r="E65" s="4" t="inlineStr">
        <is>
          <t>Pendiente</t>
        </is>
      </c>
      <c r="F65" s="4" t="inlineStr">
        <is>
          <t>limites ya escritos y firmados (D-14, 01/08): capital 1.000-2.000 €, AVISO a -25% del capital inicial que no para nada, PARADA DURA AUTOMATICA a -30% aplicada por el bot de forma continua y sin exencion activable desde dentro (regla 26 de CLAUDE.md).</t>
        </is>
      </c>
      <c r="G65" s="4" t="inlineStr"/>
    </row>
    <row r="66">
      <c r="A66" s="13" t="inlineStr">
        <is>
          <t>06.01.02</t>
        </is>
      </c>
      <c r="B66" s="4" t="inlineStr">
        <is>
          <t>PUERTA G4 mensual: seguir, ampliar o parar. Si pierde más de lo escrito, se para sin discusión</t>
        </is>
      </c>
      <c r="C66" s="28" t="inlineStr">
        <is>
          <t>CEO</t>
        </is>
      </c>
      <c r="D66" s="4" t="inlineStr">
        <is>
          <t>06.01.01</t>
        </is>
      </c>
      <c r="E66" s="4" t="inlineStr">
        <is>
          <t>Pendiente</t>
        </is>
      </c>
      <c r="F66" s="4" t="inlineStr"/>
      <c r="G66" s="4" t="inlineStr"/>
    </row>
    <row r="67" ht="20" customHeight="1">
      <c r="A67" s="36" t="inlineStr">
        <is>
          <t>07</t>
        </is>
      </c>
      <c r="B67" s="37" t="inlineStr">
        <is>
          <t>MOTOR Y ORDEN (PARALELA; MÁX. 20% DEL ESFUERZO SEMANAL)</t>
        </is>
      </c>
      <c r="C67" s="37" t="n"/>
      <c r="D67" s="37" t="n"/>
      <c r="E67" s="37" t="n"/>
      <c r="F67" s="37" t="n"/>
      <c r="G67" s="37" t="n"/>
    </row>
    <row r="68">
      <c r="A68" s="13" t="inlineStr">
        <is>
          <t>07.01.01</t>
        </is>
      </c>
      <c r="B68" s="4" t="inlineStr">
        <is>
          <t>Carpetas y documentos en orden; una fuente de verdad por tema; lo sustituido se borra</t>
        </is>
      </c>
      <c r="C68" s="4" t="inlineStr">
        <is>
          <t>Constructores</t>
        </is>
      </c>
      <c r="D68" s="4" t="inlineStr">
        <is>
          <t>03.01.01</t>
        </is>
      </c>
      <c r="E68" s="4" t="inlineStr">
        <is>
          <t>Pendiente</t>
        </is>
      </c>
      <c r="F68" s="4" t="inlineStr"/>
      <c r="G68" s="4" t="inlineStr">
        <is>
          <t>FICHA (02/08): ALCANCE — cuatro arreglos de documento, NINGUNO toca código: (a) Las celdas ESTADO de 01.02.04 y 03.01.12 declaran en negrita un estado del vocabulario pendiente / en_curso / hecha / bloqueada, como exige la sección «Estados y cadencia de este WBS». Valores ya decididos por el orquestador, no se deducen: 01.02.04 pasa a en_curso (entregado INFORME_MCP_2.md, RECHAZADO por critico-codigo, sin reparar); 03.01.12 pasa a pendiente (nadie la ha trabajado). En 01.02.04 la marca actual […] texto completo en 00-direccion/WBS.md</t>
        </is>
      </c>
    </row>
    <row r="69">
      <c r="A69" s="13" t="inlineStr">
        <is>
          <t>07.01.02</t>
        </is>
      </c>
      <c r="B69" s="4" t="inlineStr">
        <is>
          <t>Mejoras del motor: SOLO tareas aprobadas en revisión semanal (el motor no manda)</t>
        </is>
      </c>
      <c r="C69" s="4" t="inlineStr">
        <is>
          <t>Constructores</t>
        </is>
      </c>
      <c r="D69" s="4" t="inlineStr">
        <is>
          <t>03.01.02</t>
        </is>
      </c>
      <c r="E69" s="4" t="inlineStr">
        <is>
          <t>Pendiente</t>
        </is>
      </c>
      <c r="F69" s="4" t="inlineStr"/>
      <c r="G69" s="4" t="inlineStr"/>
    </row>
  </sheetData>
  <autoFilter ref="A4:G69"/>
  <mergeCells count="2">
    <mergeCell ref="A2:G2"/>
    <mergeCell ref="A1:G1"/>
  </mergeCells>
  <conditionalFormatting sqref="E5:E69">
    <cfRule type="cellIs" priority="1" operator="equal" dxfId="0">
      <formula>"Hecha"</formula>
    </cfRule>
    <cfRule type="cellIs" priority="2" operator="equal" dxfId="1">
      <formula>"En curso"</formula>
    </cfRule>
    <cfRule type="cellIs" priority="3" operator="equal" dxfId="2">
      <formula>"Bloqueada"</formula>
    </cfRule>
  </conditionalFormatting>
  <dataValidations count="1">
    <dataValidation sqref="E5:E69" showDropDown="0" showInputMessage="0" showErrorMessage="0" allowBlank="1" type="list">
      <formula1>"Pendiente,En curso,Hecha,Bloqueada"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9" customWidth="1" min="1" max="1"/>
    <col width="16" customWidth="1" min="2" max="2"/>
    <col width="46" customWidth="1" min="3" max="3"/>
    <col width="40" customWidth="1" min="4" max="4"/>
    <col width="30" customWidth="1" min="5" max="5"/>
  </cols>
  <sheetData>
    <row r="1" ht="24" customHeight="1">
      <c r="A1" s="1" t="inlineStr">
        <is>
          <t>CALENDARIO — 29 julio a 1 septiembre de 2026</t>
        </is>
      </c>
      <c r="B1" s="2" t="n"/>
      <c r="C1" s="2" t="n"/>
      <c r="D1" s="2" t="n"/>
      <c r="E1" s="2" t="n"/>
    </row>
    <row r="2">
      <c r="A2" s="21" t="inlineStr">
        <is>
          <t>Objetivo del mes: NO es tener el bot en demo. Es llegar al 1 de septiembre con respuesta a "¿existe alguna estrategia que merezca pasar a demo?".</t>
        </is>
      </c>
      <c r="B2" s="22" t="n"/>
      <c r="C2" s="22" t="n"/>
      <c r="D2" s="22" t="n"/>
      <c r="E2" s="22" t="n"/>
    </row>
    <row r="4" ht="28" customHeight="1">
      <c r="A4" s="3" t="inlineStr">
        <is>
          <t>Semana</t>
        </is>
      </c>
      <c r="B4" s="3" t="inlineStr">
        <is>
          <t>Fechas</t>
        </is>
      </c>
      <c r="C4" s="3" t="inlineStr">
        <is>
          <t>Qué se hace</t>
        </is>
      </c>
      <c r="D4" s="3" t="inlineStr">
        <is>
          <t>Hecho al final</t>
        </is>
      </c>
      <c r="E4" s="3" t="inlineStr">
        <is>
          <t>Lunes del CEO (1 h)</t>
        </is>
      </c>
    </row>
    <row r="5">
      <c r="A5" s="4" t="inlineStr">
        <is>
          <t>S1</t>
        </is>
      </c>
      <c r="B5" s="4" t="inlineStr">
        <is>
          <t>29 jul – 4 ago</t>
        </is>
      </c>
      <c r="C5" s="4" t="inlineStr">
        <is>
          <t>Fase 02 completa + 01.02.01 (gb2) + 03.01.01 (repo), en paralelo</t>
        </is>
      </c>
      <c r="D5" s="4" t="inlineStr">
        <is>
          <t>Mercado y vela elegidos (G1)</t>
        </is>
      </c>
      <c r="E5" s="4" t="inlineStr">
        <is>
          <t>Lun 3: leer informe G1 y elegir</t>
        </is>
      </c>
    </row>
    <row r="6">
      <c r="A6" s="4" t="inlineStr">
        <is>
          <t>S2</t>
        </is>
      </c>
      <c r="B6" s="4" t="inlineStr">
        <is>
          <t>5 – 11 ago</t>
        </is>
      </c>
      <c r="C6" s="4" t="inlineStr">
        <is>
          <t>03.01.02 a 03.01.06 + 04.01.01 (broker)</t>
        </is>
      </c>
      <c r="D6" s="4" t="inlineStr">
        <is>
          <t>Motor solo 24 h sin caerse + broker</t>
        </is>
      </c>
      <c r="E6" s="4" t="inlineStr">
        <is>
          <t>Lun 10: firmar broker</t>
        </is>
      </c>
    </row>
    <row r="7">
      <c r="A7" s="4" t="inlineStr">
        <is>
          <t>S3</t>
        </is>
      </c>
      <c r="B7" s="4" t="inlineStr">
        <is>
          <t>12 – 18 ago</t>
        </is>
      </c>
      <c r="C7" s="4" t="inlineStr">
        <is>
          <t>04.01.02, 04.01.03 + 04.02.01 a 04.02.04</t>
        </is>
      </c>
      <c r="D7" s="4" t="inlineStr">
        <is>
          <t>3-5 hipótesis con variantes pre-registradas</t>
        </is>
      </c>
      <c r="E7" s="4" t="inlineStr">
        <is>
          <t>Lun 17: ver hipótesis</t>
        </is>
      </c>
    </row>
    <row r="8">
      <c r="A8" s="4" t="inlineStr">
        <is>
          <t>S4</t>
        </is>
      </c>
      <c r="B8" s="4" t="inlineStr">
        <is>
          <t>19 – 25 ago</t>
        </is>
      </c>
      <c r="C8" s="4" t="inlineStr">
        <is>
          <t>04.03.01, 04.03.02</t>
        </is>
      </c>
      <c r="D8" s="4" t="inlineStr">
        <is>
          <t>Variantes supervivientes tras ajuste</t>
        </is>
      </c>
      <c r="E8" s="4" t="inlineStr">
        <is>
          <t>Lun 24: cuántas siguen vivas</t>
        </is>
      </c>
    </row>
    <row r="9">
      <c r="A9" s="4" t="inlineStr">
        <is>
          <t>S5</t>
        </is>
      </c>
      <c r="B9" s="4" t="inlineStr">
        <is>
          <t>26 ago – 1 sept</t>
        </is>
      </c>
      <c r="C9" s="4" t="inlineStr">
        <is>
          <t>04.03.03 a 04.03.05 + 04.04.01</t>
        </is>
      </c>
      <c r="D9" s="4" t="inlineStr">
        <is>
          <t>Veredicto pasa/no pasa por variante</t>
        </is>
      </c>
      <c r="E9" s="4" t="inlineStr">
        <is>
          <t>Lun 31: preparar evaluación</t>
        </is>
      </c>
    </row>
    <row r="10">
      <c r="A10" s="25" t="inlineStr">
        <is>
          <t>GM</t>
        </is>
      </c>
      <c r="B10" s="25" t="inlineStr">
        <is>
          <t>1 sept</t>
        </is>
      </c>
      <c r="C10" s="25" t="inlineStr">
        <is>
          <t>Puerta del mes con el CEO</t>
        </is>
      </c>
      <c r="D10" s="25" t="inlineStr">
        <is>
          <t>Arrancar demo / otra vuelta / replantear</t>
        </is>
      </c>
      <c r="E10" s="25" t="inlineStr">
        <is>
          <t>Mar 1: la reunión</t>
        </is>
      </c>
    </row>
    <row r="12" ht="46" customHeight="1">
      <c r="A12" s="35" t="inlineStr">
        <is>
          <t>Lo que NO cabe en el mes: la demo (8-12 semanas de mercado real, reloj no acelerable) · las 3 vueltas del bucle (cabe una y media) · el dinero real.</t>
        </is>
      </c>
    </row>
  </sheetData>
  <mergeCells count="3">
    <mergeCell ref="A2:E2"/>
    <mergeCell ref="A1:E1"/>
    <mergeCell ref="A12:E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2" customWidth="1" min="1" max="1"/>
    <col width="118" customWidth="1" min="2" max="2"/>
  </cols>
  <sheetData>
    <row r="1" ht="24" customHeight="1">
      <c r="A1" s="1" t="inlineStr">
        <is>
          <t>PUERTAS — donde decide el CEO</t>
        </is>
      </c>
      <c r="B1" s="2" t="n"/>
    </row>
    <row r="2">
      <c r="A2" s="21" t="inlineStr">
        <is>
          <t>Criterios tal y como estan escritos en WBS.md (G1 corregida el 30/07/2026).</t>
        </is>
      </c>
      <c r="B2" s="22" t="n"/>
    </row>
    <row r="4" ht="28" customHeight="1">
      <c r="A4" s="3" t="inlineStr">
        <is>
          <t>PUERTA</t>
        </is>
      </c>
      <c r="B4" s="3" t="inlineStr">
        <is>
          <t>QUE SE DECIDE Y CON QUE CRITERIO</t>
        </is>
      </c>
    </row>
    <row r="5">
      <c r="A5" s="40" t="inlineStr">
        <is>
          <t>G0</t>
        </is>
      </c>
      <c r="B5" s="4" t="inlineStr">
        <is>
          <t>(en curso): CEO aprueba plan, criterios y límites (01.01.01–03).</t>
        </is>
      </c>
    </row>
    <row r="6">
      <c r="A6" s="40" t="inlineStr">
        <is>
          <t>G1</t>
        </is>
      </c>
      <c r="B6" s="4" t="inlineStr">
        <is>
          <t>(CRITERIOS APROBADOS 01/08/2026, D-11): siete criterios numerados</t>
        </is>
      </c>
    </row>
    <row r="7">
      <c r="A7" s="40" t="inlineStr">
        <is>
          <t>G2</t>
        </is>
      </c>
      <c r="B7" s="4" t="inlineStr">
        <is>
          <t>solo pasan variantes que ganan después de costes en OOS, aguantan Monte Carlo y estaban pre-registradas. Veredicto del Validador.</t>
        </is>
      </c>
    </row>
    <row r="8">
      <c r="A8" s="40" t="inlineStr">
        <is>
          <t>G3</t>
        </is>
      </c>
      <c r="B8" s="4" t="inlineStr">
        <is>
          <t>demo de 8-12 semanas parecida a lo prometido; CEO fija dinero y pérdida máxima.</t>
        </is>
      </c>
    </row>
    <row r="9">
      <c r="A9" s="40" t="inlineStr">
        <is>
          <t>G4</t>
        </is>
      </c>
      <c r="B9" s="4" t="inlineStr">
        <is>
          <t>(mensual): si toca la parada dura de -30% del capital inicial (D-14), se para sin discusión. El aviso de -25% NO para: se reporta y decide el CEO. La parada la aplica el bot de forma continua, no esta revisión mensual.</t>
        </is>
      </c>
    </row>
    <row r="10">
      <c r="A10" s="40" t="inlineStr">
        <is>
          <t>GM</t>
        </is>
      </c>
      <c r="B10" s="4" t="inlineStr">
        <is>
          <t>(1 de septiembre de 2026): puerta de evaluación del primer mes. Decisión: arrancar demo, dar otra vuelta al bucle, replantear o PARAR (cuarta salida añadida en D-12). Es la primera de las revisiones mensuales de avance; las siguientes, 01/10 y 01/11.</t>
        </is>
      </c>
    </row>
  </sheetData>
  <mergeCells count="2">
    <mergeCell ref="A2:B2"/>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2" customWidth="1" min="1" max="1"/>
    <col width="50" customWidth="1" min="2" max="2"/>
    <col width="38" customWidth="1" min="3" max="3"/>
    <col width="16" customWidth="1" min="4" max="4"/>
    <col width="18" customWidth="1" min="5" max="5"/>
  </cols>
  <sheetData>
    <row r="1" ht="24" customHeight="1">
      <c r="A1" s="1" t="inlineStr">
        <is>
          <t>EQUIPO DE AGENTES — un modelo por puesto</t>
        </is>
      </c>
      <c r="B1" s="2" t="n"/>
      <c r="C1" s="2" t="n"/>
      <c r="D1" s="2" t="n"/>
      <c r="E1" s="2" t="n"/>
    </row>
    <row r="2">
      <c r="A2" s="21" t="inlineStr">
        <is>
          <t>Regla 29: identificador exacto del modelo, nunca un alias, y ningun agente sin modelo.</t>
        </is>
      </c>
      <c r="B2" s="22" t="n"/>
      <c r="C2" s="22" t="n"/>
      <c r="D2" s="22" t="n"/>
      <c r="E2" s="22" t="n"/>
    </row>
    <row r="4" ht="28" customHeight="1">
      <c r="A4" s="3" t="inlineStr">
        <is>
          <t>Agente</t>
        </is>
      </c>
      <c r="B4" s="3" t="inlineStr">
        <is>
          <t>Qué hace</t>
        </is>
      </c>
      <c r="C4" s="3" t="inlineStr">
        <is>
          <t>Qué NO puede hacer</t>
        </is>
      </c>
      <c r="D4" s="3" t="inlineStr">
        <is>
          <t>Modelo</t>
        </is>
      </c>
      <c r="E4" s="3" t="inlineStr">
        <is>
          <t>Respaldo</t>
        </is>
      </c>
    </row>
    <row r="5">
      <c r="A5" s="4" t="inlineStr">
        <is>
          <t>Orquestador</t>
        </is>
      </c>
      <c r="B5" s="4" t="inlineStr">
        <is>
          <t>Reparte tareas por código, cierra contra criterio de hecho, escala excepciones al CEO</t>
        </is>
      </c>
      <c r="C5" s="4" t="inlineStr">
        <is>
          <t>Construir; validar su propio reparto</t>
        </is>
      </c>
      <c r="D5" s="4" t="inlineStr">
        <is>
          <t>Opus 5</t>
        </is>
      </c>
      <c r="E5" s="4" t="inlineStr">
        <is>
          <t>Sonnet 5</t>
        </is>
      </c>
    </row>
    <row r="6">
      <c r="A6" s="4" t="inlineStr">
        <is>
          <t>Investigador</t>
        </is>
      </c>
      <c r="B6" s="4" t="inlineStr">
        <is>
          <t>Barre fuentes (papers, libros, foros, GitHub, X); fichas de hipótesis</t>
        </is>
      </c>
      <c r="C6" s="4" t="inlineStr">
        <is>
          <t>Elegir sus propias fichas; tocar código o datos</t>
        </is>
      </c>
      <c r="D6" s="4" t="inlineStr">
        <is>
          <t>Sonnet 5</t>
        </is>
      </c>
      <c r="E6" s="4" t="inlineStr">
        <is>
          <t>Haiku 4.5</t>
        </is>
      </c>
    </row>
    <row r="7">
      <c r="A7" s="4" t="inlineStr">
        <is>
          <t>Constructor de datos</t>
        </is>
      </c>
      <c r="B7" s="4" t="inlineStr">
        <is>
          <t>Históricos, limpieza, los 3 cajones, costes reales</t>
        </is>
      </c>
      <c r="C7" s="4" t="inlineStr">
        <is>
          <t>Abrir el cajón reservado (OOS)</t>
        </is>
      </c>
      <c r="D7" s="4" t="inlineStr">
        <is>
          <t>Sonnet 5</t>
        </is>
      </c>
      <c r="E7" s="4" t="inlineStr">
        <is>
          <t>Haiku 4.5</t>
        </is>
      </c>
    </row>
    <row r="8">
      <c r="A8" s="4" t="inlineStr">
        <is>
          <t>Constructor de motor/bot</t>
        </is>
      </c>
      <c r="B8" s="4" t="inlineStr">
        <is>
          <t>Backtester, bot, ejecución desatendida</t>
        </is>
      </c>
      <c r="C8" s="4" t="inlineStr">
        <is>
          <t>Validar sus backtests; tocar el cajón reservado</t>
        </is>
      </c>
      <c r="D8" s="4" t="inlineStr">
        <is>
          <t>Sonnet 5</t>
        </is>
      </c>
      <c r="E8" s="4" t="inlineStr">
        <is>
          <t>Opus 5 tras 2 atascos</t>
        </is>
      </c>
    </row>
    <row r="9">
      <c r="A9" s="4" t="inlineStr">
        <is>
          <t>Crítico de código</t>
        </is>
      </c>
      <c r="B9" s="4" t="inlineStr">
        <is>
          <t>Revisa código ajeno; analiza gb2 (01.02.01)</t>
        </is>
      </c>
      <c r="C9" s="4" t="inlineStr">
        <is>
          <t>Revisar código propio</t>
        </is>
      </c>
      <c r="D9" s="4" t="inlineStr">
        <is>
          <t>Sonnet 5 (Opus 5 en código que toca dinero real)</t>
        </is>
      </c>
      <c r="E9" s="4" t="inlineStr">
        <is>
          <t>Sonnet 5</t>
        </is>
      </c>
    </row>
    <row r="10">
      <c r="A10" s="4" t="inlineStr">
        <is>
          <t>Validador de estrategias</t>
        </is>
      </c>
      <c r="B10" s="4" t="inlineStr">
        <is>
          <t>Filtro de sentido, prueba OOS, Monte Carlo, veredictos pasa/no pasa</t>
        </is>
      </c>
      <c r="C10" s="4" t="inlineStr">
        <is>
          <t>Construir estrategias; suavizar veredictos</t>
        </is>
      </c>
      <c r="D10" s="4" t="inlineStr">
        <is>
          <t>Fable 5</t>
        </is>
      </c>
      <c r="E10" s="4" t="inlineStr">
        <is>
          <t>Opus 5</t>
        </is>
      </c>
    </row>
    <row r="11">
      <c r="A11" s="4" t="inlineStr">
        <is>
          <t>Arquitecto (puntual)</t>
        </is>
      </c>
      <c r="B11" s="4" t="inlineStr">
        <is>
          <t>Diseña el motor al arrancar Fase 03; revisa el planteamiento si el bucle falla 3 veces</t>
        </is>
      </c>
      <c r="C11" s="4" t="inlineStr">
        <is>
          <t>Trabajo del día a día</t>
        </is>
      </c>
      <c r="D11" s="4" t="inlineStr">
        <is>
          <t>Fable 5</t>
        </is>
      </c>
      <c r="E11" s="4" t="inlineStr">
        <is>
          <t>Opus 5</t>
        </is>
      </c>
    </row>
    <row r="12">
      <c r="A12" s="4" t="inlineStr">
        <is>
          <t>Secretario</t>
        </is>
      </c>
      <c r="B12" s="4" t="inlineStr">
        <is>
          <t>Informes, WBS, DECISIONES.md, LECCIONES.md, registro de pruebas</t>
        </is>
      </c>
      <c r="C12" s="4" t="inlineStr">
        <is>
          <t>Decidir</t>
        </is>
      </c>
      <c r="D12" s="4" t="inlineStr">
        <is>
          <t>Haiku 4.5</t>
        </is>
      </c>
      <c r="E12" s="4" t="inlineStr">
        <is>
          <t>Sonnet 5</t>
        </is>
      </c>
    </row>
    <row r="14" ht="46" customHeight="1">
      <c r="A14" s="35" t="inlineStr">
        <is>
          <t>Precios oficiales por millón de tokens (platform.claude.com, consultado 29/07/2026): Fable 5 (claude-fable-5) 10 $/50 $ · Opus 5 (claude-opus-5) 5 $/25 $ · Sonnet 5 (claude-sonnet-5) 3 $/15 $, con 2 $/10 $ hasta el 31/08/2026 · Haiku 4.5 (claude-haiku-4-5-20251001) 1 $/5 $. Contexto de 1M tokens salvo Haiku (200k).</t>
        </is>
      </c>
    </row>
    <row r="16" ht="46" customHeight="1">
      <c r="A16" s="35" t="inlineStr">
        <is>
          <t>Aviso Fable 5: estuvo suspendido en junio de 2026 por controles de exportación y volvió el 1 de julio; además puede rechazar peticiones por sus filtros. Respaldo obligatorio (tarea 03.01.04).</t>
        </is>
      </c>
    </row>
  </sheetData>
  <mergeCells count="4">
    <mergeCell ref="A2:E2"/>
    <mergeCell ref="A16:E16"/>
    <mergeCell ref="A1:E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6" customWidth="1" min="1" max="1"/>
    <col width="130" customWidth="1" min="2" max="2"/>
  </cols>
  <sheetData>
    <row r="1" ht="24" customHeight="1">
      <c r="A1" s="1" t="inlineStr">
        <is>
          <t>LAS 29 REGLAS — mandan sobre cualquier otra instruccion</t>
        </is>
      </c>
      <c r="B1" s="2" t="n"/>
    </row>
    <row r="3" ht="28" customHeight="1">
      <c r="A3" s="3" t="inlineStr">
        <is>
          <t>Nº</t>
        </is>
      </c>
      <c r="B3" s="3" t="inlineStr">
        <is>
          <t>REGLA</t>
        </is>
      </c>
    </row>
  </sheetData>
  <mergeCells count="1">
    <mergeCell ref="A1:B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13" customWidth="1" min="1" max="1"/>
    <col width="70" customWidth="1" min="2" max="2"/>
    <col width="60" customWidth="1" min="3" max="3"/>
  </cols>
  <sheetData>
    <row r="1" ht="24" customHeight="1">
      <c r="A1" s="1" t="inlineStr">
        <is>
          <t>REGISTRO DE DECISIONES — solo se añade, nunca se reescribe (regla 21)</t>
        </is>
      </c>
      <c r="B1" s="2" t="n"/>
      <c r="C1" s="2" t="n"/>
    </row>
    <row r="3" ht="28" customHeight="1">
      <c r="A3" s="3" t="inlineStr">
        <is>
          <t>Fecha</t>
        </is>
      </c>
      <c r="B3" s="3" t="inlineStr">
        <is>
          <t>Decisión</t>
        </is>
      </c>
      <c r="C3" s="3" t="inlineStr">
        <is>
          <t>Motivo</t>
        </is>
      </c>
    </row>
    <row r="4">
      <c r="A4" s="4" t="inlineStr">
        <is>
          <t>2026-07-29</t>
        </is>
      </c>
      <c r="B4" s="4" t="inlineStr">
        <is>
          <t>Producto antes que motor; motor máx. 20% en paralelo</t>
        </is>
      </c>
      <c r="C4" s="4" t="inlineStr">
        <is>
          <t>Evitar la deriva de gb2</t>
        </is>
      </c>
    </row>
    <row r="5">
      <c r="A5" s="4" t="inlineStr">
        <is>
          <t>2026-07-29</t>
        </is>
      </c>
      <c r="B5" s="4" t="inlineStr">
        <is>
          <t>Portafolio 3-5 mercados poco correlacionados</t>
        </is>
      </c>
      <c r="C5" s="4" t="inlineStr">
        <is>
          <t>Riesgo repartido + muestra</t>
        </is>
      </c>
    </row>
    <row r="6">
      <c r="A6" s="4" t="inlineStr">
        <is>
          <t>2026-07-29</t>
        </is>
      </c>
      <c r="B6" s="4" t="inlineStr">
        <is>
          <t>Mercado y vela se deciden en G1 con datos</t>
        </is>
      </c>
      <c r="C6" s="4" t="inlineStr">
        <is>
          <t>Evitar corazonadas</t>
        </is>
      </c>
    </row>
    <row r="7">
      <c r="A7" s="4" t="inlineStr">
        <is>
          <t>2026-07-29</t>
        </is>
      </c>
      <c r="B7" s="4" t="inlineStr">
        <is>
          <t>CEO: revisión semanal + puertas, sin firmas por tarea</t>
        </is>
      </c>
      <c r="C7" s="4" t="inlineStr">
        <is>
          <t>Dirección por excepción</t>
        </is>
      </c>
    </row>
    <row r="8">
      <c r="A8" s="4" t="inlineStr">
        <is>
          <t>2026-07-29</t>
        </is>
      </c>
      <c r="B8" s="4" t="inlineStr">
        <is>
          <t>Broker después de G1; costes provisionales mientras</t>
        </is>
      </c>
      <c r="C8" s="4" t="inlineStr">
        <is>
          <t>Búsqueda enfocada</t>
        </is>
      </c>
    </row>
    <row r="9">
      <c r="A9" s="4" t="inlineStr">
        <is>
          <t>2026-07-29</t>
        </is>
      </c>
      <c r="B9" s="4" t="inlineStr">
        <is>
          <t>WBS texto = fuente de verdad; Excel = vista del CEO</t>
        </is>
      </c>
      <c r="C9" s="4" t="inlineStr">
        <is>
          <t>Agentes leen texto</t>
        </is>
      </c>
    </row>
    <row r="10">
      <c r="A10" s="4" t="inlineStr">
        <is>
          <t>2026-07-29</t>
        </is>
      </c>
      <c r="B10" s="4" t="inlineStr">
        <is>
          <t>Cada agente con su modelo según tarea (tabla Equipo); confirmar con análisis gb2</t>
        </is>
      </c>
      <c r="C10" s="4" t="inlineStr">
        <is>
          <t>Replicar lo bueno de gb2 con criterio</t>
        </is>
      </c>
    </row>
    <row r="11">
      <c r="A11" s="4" t="inlineStr">
        <is>
          <t>2026-07-29</t>
        </is>
      </c>
      <c r="B11" s="4" t="inlineStr">
        <is>
          <t>gb2 se analiza como información, no como copia (01.02.01)</t>
        </is>
      </c>
      <c r="C11" s="4" t="inlineStr">
        <is>
          <t>Lecciones sin contaminación</t>
        </is>
      </c>
    </row>
    <row r="12">
      <c r="A12" s="4" t="inlineStr">
        <is>
          <t>2026-07-29</t>
        </is>
      </c>
      <c r="B12" s="4" t="inlineStr">
        <is>
          <t>Validación: 3 cajones (train/validación/OOS) + Monte Carlo + walk-forward, con pre-registro de variantes (máx. 5-7) y registro de fallidas</t>
        </is>
      </c>
      <c r="C12" s="4" t="inlineStr">
        <is>
          <t>Cuantas más variantes, más fácil que una gane por suerte; esto lo controla</t>
        </is>
      </c>
    </row>
    <row r="13">
      <c r="A13" s="4" t="inlineStr">
        <is>
          <t>2026-07-29</t>
        </is>
      </c>
      <c r="B13" s="4" t="inlineStr">
        <is>
          <t>Bucle de investigación si nada pasa; a la 3ª vuelta sin éxito, revisión con el CEO</t>
        </is>
      </c>
      <c r="C13" s="4" t="inlineStr">
        <is>
          <t>Bucle sano, no infinito</t>
        </is>
      </c>
    </row>
    <row r="14">
      <c r="A14" s="4" t="inlineStr">
        <is>
          <t>2026-07-29</t>
        </is>
      </c>
      <c r="B14" s="4" t="inlineStr">
        <is>
          <t>Regla de no-ambigüedad: tarea que obliga a adivinar vuelve al orquestador</t>
        </is>
      </c>
      <c r="C14" s="4" t="inlineStr">
        <is>
          <t>La ambigüedad fue causa del caos en gb2</t>
        </is>
      </c>
    </row>
    <row r="15">
      <c r="A15" s="4" t="inlineStr">
        <is>
          <t>2026-07-29</t>
        </is>
      </c>
      <c r="B15" s="4" t="inlineStr">
        <is>
          <t>Restricción justificada: permisos amplios + git; restricciones solo tras incidente real, revisadas cada mes</t>
        </is>
      </c>
      <c r="C15" s="4" t="inlineStr">
        <is>
          <t>En gb2 se restringió de más sobre el papel y hubo que ir quitando</t>
        </is>
      </c>
    </row>
    <row r="16">
      <c r="A16" s="4" t="inlineStr">
        <is>
          <t>2026-07-29</t>
        </is>
      </c>
      <c r="B16" s="4" t="inlineStr">
        <is>
          <t>Modelos por puesto: Fable 5 en validación y arquitectura, Opus 5 en orquestación, Sonnet 5 en construcción e investigación, Haiku 4.5 en secretaría</t>
        </is>
      </c>
      <c r="C16" s="4" t="inlineStr">
        <is>
          <t>Fuentes oficiales consultadas 29/07/2026; el modelo caro solo donde un error cuesta dinero</t>
        </is>
      </c>
    </row>
    <row r="17">
      <c r="A17" s="4" t="inlineStr">
        <is>
          <t>2026-07-29</t>
        </is>
      </c>
      <c r="B17" s="4" t="inlineStr">
        <is>
          <t>Respaldo obligatorio para todo agente con Fable 5</t>
        </is>
      </c>
      <c r="C17" s="4" t="inlineStr">
        <is>
          <t>Fable 5 estuvo suspendido en junio de 2026 y puede rechazar peticiones</t>
        </is>
      </c>
    </row>
    <row r="18">
      <c r="A18" s="4" t="inlineStr">
        <is>
          <t>2026-07-29</t>
        </is>
      </c>
      <c r="B18" s="4" t="inlineStr">
        <is>
          <t>La Fase 03 no se cierra sin un día entero de trabajo desatendido real (03.01.05)</t>
        </is>
      </c>
      <c r="C18" s="4" t="inlineStr">
        <is>
          <t>Evitar el motor perfecto en papel de gb2</t>
        </is>
      </c>
    </row>
    <row r="19">
      <c r="A19" s="4" t="inlineStr">
        <is>
          <t>2026-07-29</t>
        </is>
      </c>
      <c r="B19" s="4" t="inlineStr">
        <is>
          <t>Escalado definido (sección Autonomía): el CEO solo interviene en puertas y excepciones</t>
        </is>
      </c>
      <c r="C19" s="4" t="inlineStr">
        <is>
          <t>El CEO no firma tareas</t>
        </is>
      </c>
    </row>
    <row r="20">
      <c r="A20" s="4" t="inlineStr">
        <is>
          <t>2026-07-29</t>
        </is>
      </c>
      <c r="B20" s="4" t="inlineStr">
        <is>
          <t>Formato obligatorio de ficha de decisión del CEO (sección «Qué llega al CEO y qué no» de CLAUDE.md + plantilla)</t>
        </is>
      </c>
      <c r="C20" s="4" t="inlineStr">
        <is>
          <t>Reducir al mínimo el tiempo del CEO: ni redactar, ni buscar, ni calcular</t>
        </is>
      </c>
    </row>
    <row r="21">
      <c r="A21" s="4" t="inlineStr">
        <is>
          <t>2026-07-29</t>
        </is>
      </c>
      <c r="B21" s="4" t="inlineStr">
        <is>
          <t>D1 resuelta: se fija AHORA qué se mide (misma vara para los 8) y se calibran los umbrales en G1 con los números delante</t>
        </is>
      </c>
      <c r="C21" s="4" t="inlineStr">
        <is>
          <t>El CEO no quiere cortes a ciegas; sin vara común, cada mercado se mediría distinto</t>
        </is>
      </c>
    </row>
    <row r="22">
      <c r="A22" s="4" t="inlineStr">
        <is>
          <t>2026-07-29</t>
        </is>
      </c>
      <c r="B22" s="4" t="inlineStr">
        <is>
          <t>Guardarraíles en dos niveles: reversible permisivo, irreversible con barrera desde el minuto uno</t>
        </is>
      </c>
      <c r="C22" s="4" t="inlineStr">
        <is>
          <t>Matiz de un vídeo analizado el 29/07</t>
        </is>
      </c>
    </row>
    <row r="23">
      <c r="A23" s="4" t="inlineStr">
        <is>
          <t>2026-07-29</t>
        </is>
      </c>
      <c r="B23" s="4" t="inlineStr">
        <is>
          <t>Cola de aprobación con Aprobado / Saltar / Corregir; toda corrección escrita va a LECCIONES.md</t>
        </is>
      </c>
      <c r="C23" s="4" t="inlineStr">
        <is>
          <t>El valor está en que la corrección quede guardada</t>
        </is>
      </c>
    </row>
    <row r="24">
      <c r="A24" s="4" t="inlineStr">
        <is>
          <t>2026-07-29</t>
        </is>
      </c>
      <c r="B24" s="4" t="inlineStr">
        <is>
          <t>02.02.01 pasa de "buscar ATR publicado" a "calcular ATR sobre precios reales"</t>
        </is>
      </c>
      <c r="C24" s="4" t="inlineStr">
        <is>
          <t>El dato no existe publicado; sí existen los precios (L-001)</t>
        </is>
      </c>
    </row>
    <row r="25">
      <c r="A25" s="4" t="inlineStr">
        <is>
          <t>2026-07-29</t>
        </is>
      </c>
      <c r="B25" s="4" t="inlineStr">
        <is>
          <t>Se añade el swap/financiación como segundo componente del coste (02.02.05 y criterio 1 de G1)</t>
        </is>
      </c>
      <c r="C25" s="4" t="inlineStr">
        <is>
          <t>En CFD de bitcoin la financiación (-22,5% anual) supera al spread si se mantiene la posición</t>
        </is>
      </c>
    </row>
    <row r="26">
      <c r="A26" s="4" t="inlineStr">
        <is>
          <t>2026-07-29</t>
        </is>
      </c>
      <c r="B26" s="4" t="inlineStr">
        <is>
          <t>El Excel se regenera solo los lunes y en las puertas; el WBS en texto, siempre</t>
        </is>
      </c>
      <c r="C26" s="4" t="inlineStr">
        <is>
          <t>Decisión del CEO: no necesita la vista cada vez</t>
        </is>
      </c>
    </row>
    <row r="27">
      <c r="A27" s="4" t="inlineStr">
        <is>
          <t>2026-07-30</t>
        </is>
      </c>
      <c r="B27" s="4" t="inlineStr">
        <is>
          <t>D6 = B. Repositorio nuevo con reglas y agentes desde cero; se trasplantan 5 piezas de gb2, una a una, cada una con criterio de aceptación probado aquí</t>
        </is>
      </c>
      <c r="C27" s="4" t="inlineStr">
        <is>
          <t>Decisión del CEO. Reescribir motor y datos se comería el mes sin acercar la respuesta</t>
        </is>
      </c>
    </row>
    <row r="28">
      <c r="A28" s="4" t="inlineStr">
        <is>
          <t>2026-07-30</t>
        </is>
      </c>
      <c r="B28" s="4" t="inlineStr">
        <is>
          <t>Jerarquía de la prueba: ejecución &gt; verificación documental &gt; contraste entre agentes. El consenso entre agentes no cierra nada</t>
        </is>
      </c>
      <c r="C28" s="4" t="inlineStr">
        <is>
          <t>Petición del CEO ("miedo a que una IA decida y no tenga razón") + evidencia de gb2</t>
        </is>
      </c>
    </row>
    <row r="29">
      <c r="A29" s="4" t="inlineStr">
        <is>
          <t>2026-07-30</t>
        </is>
      </c>
      <c r="B29" s="4" t="inlineStr">
        <is>
          <t>El análisis del catálogo awesome-claude-code es trabajo de motor: entra en el carril del 20% y se limita a 1 tirada con máximo 4 propuestas</t>
        </is>
      </c>
      <c r="C29" s="4" t="inlineStr">
        <is>
          <t>Aplicación de la regla 8 de CLAUDE.md a una petición del propio CEO</t>
        </is>
      </c>
    </row>
    <row r="30">
      <c r="A30" s="4" t="inlineStr">
        <is>
          <t>2026-08-01</t>
        </is>
      </c>
      <c r="B30" s="4" t="inlineStr">
        <is>
          <t>01.02.03 amplía alcance: además del catálogo, fuentes oficiales de Anthropic y mecanismos nativos de Claude Code</t>
        </is>
      </c>
      <c r="C30" s="4" t="inlineStr">
        <is>
          <t>Petición del CEO. El catálogo por sí solo dejaba fuera lo que ya está instalado y sin usar</t>
        </is>
      </c>
    </row>
    <row r="31">
      <c r="A31" s="4" t="inlineStr">
        <is>
          <t>2026-08-01</t>
        </is>
      </c>
      <c r="B31" s="4" t="inlineStr">
        <is>
          <t>Se añade 01.02.04: evaluar MCP con veredicto por servidor y regla de admisión escrita</t>
        </is>
      </c>
      <c r="C31" s="4" t="inlineStr">
        <is>
          <t>Petición del CEO; no estaba medido en el WBS</t>
        </is>
      </c>
    </row>
    <row r="32">
      <c r="A32" s="4" t="inlineStr">
        <is>
          <t>2026-08-01</t>
        </is>
      </c>
      <c r="B32" s="4" t="inlineStr">
        <is>
          <t>Se añade 03.01.12: estrategia de ramas, con el criterio del CEO «agilidad, no complejidad»</t>
        </is>
      </c>
      <c r="C32" s="4" t="inlineStr">
        <is>
          <t>Petición del CEO. Hoy todo va en main sin norma escrita</t>
        </is>
      </c>
    </row>
    <row r="33">
      <c r="A33" s="4" t="inlineStr">
        <is>
          <t>2026-08-01</t>
        </is>
      </c>
      <c r="B33" s="4" t="inlineStr">
        <is>
          <t>El orquestador NO se convierte en subagente que lo haga todo: sigue en la sesión principal</t>
        </is>
      </c>
      <c r="C33" s="4" t="inlineStr">
        <is>
          <t>Comprobado por lectura: ningún agente de .claude/agents/ lleva la herramienta Agent en tools, así que un orquestador subagente no puede repartir. Y meter la revisión dentro del subagente degradaría la prueba al nivel 3 de la regla 9 de CLAUDE.md (consenso entre agentes), que es el más débil</t>
        </is>
      </c>
    </row>
  </sheetData>
  <mergeCells count="1">
    <mergeCell ref="A1:C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38" customWidth="1" min="2" max="2"/>
    <col width="62" customWidth="1" min="3" max="3"/>
    <col width="38" customWidth="1" min="4" max="4"/>
  </cols>
  <sheetData>
    <row r="1" ht="24" customHeight="1">
      <c r="A1" s="1" t="inlineStr">
        <is>
          <t>TRASPLANTE DESDE gb2 (D6 = B, 30/07/2026)</t>
        </is>
      </c>
      <c r="B1" s="2" t="n"/>
      <c r="C1" s="2" t="n"/>
      <c r="D1" s="2" t="n"/>
    </row>
    <row r="2">
      <c r="A2" s="21" t="inlineStr">
        <is>
          <t>Ninguna pieza entra por ser buena en gb2: entra si pasa su prueba, ejecutada aqui.</t>
        </is>
      </c>
      <c r="B2" s="22" t="n"/>
      <c r="C2" s="22" t="n"/>
      <c r="D2" s="22" t="n"/>
    </row>
    <row r="4" ht="28" customHeight="1">
      <c r="A4" s="3" t="inlineStr">
        <is>
          <t>Pieza</t>
        </is>
      </c>
      <c r="B4" s="3" t="inlineStr">
        <is>
          <t>Qué se trae</t>
        </is>
      </c>
      <c r="C4" s="3" t="inlineStr">
        <is>
          <t>Criterio de aceptación (prueba ejecutada)</t>
        </is>
      </c>
      <c r="D4" s="3" t="inlineStr">
        <is>
          <t>Qué se descarta de ella</t>
        </is>
      </c>
    </row>
    <row r="5">
      <c r="A5" s="4" t="inlineStr">
        <is>
          <t>T1 — Dataset histórico</t>
        </is>
      </c>
      <c r="B5" s="4" t="inlineStr">
        <is>
          <t>Precios validados 2015-2022</t>
        </is>
      </c>
      <c r="C5" s="4" t="inlineStr">
        <is>
          <t>Se recalcula la cobertura, los duplicados y los spreads negativos AQUÍ, sin fiarse del informe. Prueba de cordura de precio: el oro debe estar en cientos/miles, no en decenas (en gb2 un divisor mal puesto lo puso a 17 $/onza)</t>
        </is>
      </c>
      <c r="D5" s="4" t="inlineStr">
        <is>
          <t>Todo lo que esté versionado en git: los datos se descargan, no se clonan (regla 27 de CLAUDE.md)</t>
        </is>
      </c>
    </row>
    <row r="6">
      <c r="A6" s="4" t="inlineStr">
        <is>
          <t>T2 — Motor de backtest</t>
        </is>
      </c>
      <c r="B6" s="4" t="inlineStr">
        <is>
          <t>Costes reales nativos: entrada al precio de compra y salida al de venta, stops sin mejora de precio, financiación asimétrica con triple miércoles, dimensionado</t>
        </is>
      </c>
      <c r="C6" s="4" t="inlineStr">
        <is>
          <t>Se ejecuta con un caso hecho a mano cuyo resultado se calcula con lápiz y papel; si no coincide, no entra. Además se prueba que un stop nunca ejecuta a mejor precio del disparado</t>
        </is>
      </c>
      <c r="D6" s="4" t="inlineStr">
        <is>
          <t>Los drivers duplicados (scripts/backtest_f03*.py): en gb2 la lógica vivía en dos sitios con riesgo de divergencia</t>
        </is>
      </c>
    </row>
    <row r="7">
      <c r="A7" s="4" t="inlineStr">
        <is>
          <t>T3 — Testbed de invarianza</t>
        </is>
      </c>
      <c r="B7" s="4" t="inlineStr">
        <is>
          <t>Prueba sintética con resultado de referencia fijo</t>
        </is>
      </c>
      <c r="C7" s="4" t="inlineStr">
        <is>
          <t>Se corre dos veces y da el mismo número; se altera el motor a propósito y debe cambiar. Un testbed que no detecta un cambio inducido no sirve</t>
        </is>
      </c>
      <c r="D7" s="4" t="inlineStr">
        <is>
          <t>El número de referencia de gb2: se genera uno nuevo aquí</t>
        </is>
      </c>
    </row>
    <row r="8">
      <c r="A8" s="4" t="inlineStr">
        <is>
          <t>T4 — Guardias de datos reservados</t>
        </is>
      </c>
      <c r="B8" s="4" t="inlineStr">
        <is>
          <t>Bloqueo de acceso al cajón OOS</t>
        </is>
      </c>
      <c r="C8" s="4" t="inlineStr">
        <is>
          <t>Se intenta leer el cajón reservado por tres vías distintas (agente, script, terminal) y las tres deben bloquearse (regla 25 de CLAUDE.md). En gb2 estos sí mordían</t>
        </is>
      </c>
      <c r="D8" s="4" t="inlineStr">
        <is>
          <t>Los guardias que el propio informe señala como muertos o mal cableados</t>
        </is>
      </c>
    </row>
    <row r="9">
      <c r="A9" s="4" t="inlineStr">
        <is>
          <t>T5 — Especificaciones e informes de las 13 hipótesis</t>
        </is>
      </c>
      <c r="B9" s="4" t="inlineStr">
        <is>
          <t>Material de partida para la fase 04</t>
        </is>
      </c>
      <c r="C9" s="4" t="inlineStr">
        <is>
          <t>Ninguno: es material de lectura, no código. Advertencia obligatoria: 12 de las 13 nunca se probaron. Entran como hipótesis candidatas, no como conocimiento validado</t>
        </is>
      </c>
      <c r="D9" s="4" t="inlineStr">
        <is>
          <t>Cualquier conclusión sobre su calidad: no la hay</t>
        </is>
      </c>
    </row>
    <row r="11" ht="40" customHeight="1">
      <c r="A11" s="35" t="inlineStr">
        <is>
          <t>NO se trae: la configuración de agentes, la cola de tareas, el historial de git, los ficheros de estado, los encadenadores de sesión ni ninguna documentación de gb2 como norma. Las lecciones ya están extraídas en las reglas 5, 7, 11, 12, 13, 14, 15, 17, 18, 21, 25, 26, 27 y 29 de CLAUDE.md (el contenido de la antigua regla 26 del WBS —"antes de crear un agente se comprueba que el WBS tiene tareas de su tipo"— no tiene número propio en CLAUDE.md; ver L-010 de LECCIONES.md).</t>
        </is>
      </c>
    </row>
  </sheetData>
  <mergeCells count="3">
    <mergeCell ref="A1:D1"/>
    <mergeCell ref="A2:D2"/>
    <mergeCell ref="A11:D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9" customWidth="1" min="1" max="1"/>
    <col width="100" customWidth="1" min="2" max="2"/>
    <col width="26" customWidth="1" min="3" max="3"/>
  </cols>
  <sheetData>
    <row r="1" ht="24" customHeight="1">
      <c r="A1" s="1" t="inlineStr">
        <is>
          <t>LECCIONES APRENDIDAS</t>
        </is>
      </c>
      <c r="B1" s="2" t="n"/>
      <c r="C1" s="2" t="n"/>
    </row>
    <row r="3" ht="28" customHeight="1">
      <c r="A3" s="3" t="inlineStr">
        <is>
          <t>ID</t>
        </is>
      </c>
      <c r="B3" s="3" t="inlineStr">
        <is>
          <t>Lección</t>
        </is>
      </c>
      <c r="C3" s="3" t="inlineStr">
        <is>
          <t>Origen</t>
        </is>
      </c>
    </row>
    <row r="4">
      <c r="A4" s="4" t="inlineStr">
        <is>
          <t>L-001</t>
        </is>
      </c>
      <c r="B4" s="4" t="inlineStr">
        <is>
          <t>Si un dato se puede calcular a partir de datos brutos disponibles, se calcula. Buscar el dato ya masticado pierde tiempo y devuelve fuentes flojas</t>
        </is>
      </c>
      <c r="C4" s="4" t="inlineStr">
        <is>
          <t>Revisión 02.03.01</t>
        </is>
      </c>
    </row>
    <row r="5">
      <c r="A5" s="4" t="inlineStr">
        <is>
          <t>L-002</t>
        </is>
      </c>
      <c r="B5" s="4" t="inlineStr">
        <is>
          <t>Toda conversión de unidades se aplica en la tabla final, no solo se explica en una nota al pie</t>
        </is>
      </c>
      <c r="C5" s="4" t="inlineStr">
        <is>
          <t>Revisión 02.03.01</t>
        </is>
      </c>
    </row>
    <row r="6">
      <c r="A6" s="4" t="inlineStr">
        <is>
          <t>L-003</t>
        </is>
      </c>
      <c r="B6" s="4" t="inlineStr">
        <is>
          <t>Medir el coste de entrar y salir sin medir el de mantener da una foto incompleta</t>
        </is>
      </c>
      <c r="C6" s="4" t="inlineStr">
        <is>
          <t>Revisión 02.03.01</t>
        </is>
      </c>
    </row>
    <row r="7">
      <c r="A7" s="4" t="inlineStr">
        <is>
          <t>L-004</t>
        </is>
      </c>
      <c r="B7" s="4" t="inlineStr">
        <is>
          <t>Los valores absolutos no se comparan entre activos distintos: se normalizan antes</t>
        </is>
      </c>
      <c r="C7" s="4" t="inlineStr">
        <is>
          <t>Revisión 02.03.01</t>
        </is>
      </c>
    </row>
    <row r="8">
      <c r="A8" s="4" t="inlineStr">
        <is>
          <t>L-005</t>
        </is>
      </c>
      <c r="B8" s="4" t="inlineStr">
        <is>
          <t>El modelo no aprende: acumula notas escritas. Si nadie escribe bien las notas, no mejora nada</t>
        </is>
      </c>
      <c r="C8" s="4" t="inlineStr">
        <is>
          <t>Análisis del vídeo, 29/07</t>
        </is>
      </c>
    </row>
    <row r="9">
      <c r="A9" s="4" t="inlineStr">
        <is>
          <t>L-006</t>
        </is>
      </c>
      <c r="B9" s="4" t="inlineStr">
        <is>
          <t>Si dos fuentes usan convenciones distintas (yen y franco invertidos), sus números tienen el signo cambiado. Verificar la convención antes de comparar</t>
        </is>
      </c>
      <c r="C9" s="4" t="inlineStr">
        <is>
          <t>Revisión Brief B</t>
        </is>
      </c>
    </row>
    <row r="10">
      <c r="A10" s="4" t="inlineStr">
        <is>
          <t>L-007</t>
        </is>
      </c>
      <c r="B10" s="4" t="inlineStr">
        <is>
          <t>Un nombre parecido no es el mismo instrumento: oro al contado ≠ futuro de oro; bitcoin contra Tether ≠ contra dólar</t>
        </is>
      </c>
      <c r="C10" s="4" t="inlineStr">
        <is>
          <t>Revisión Brief B</t>
        </is>
      </c>
    </row>
    <row r="11">
      <c r="A11" s="4" t="inlineStr">
        <is>
          <t>L-008</t>
        </is>
      </c>
      <c r="B11" s="4" t="inlineStr">
        <is>
          <t>Un umbral sobre una magnitud inestable necesita varias ventanas, no una</t>
        </is>
      </c>
      <c r="C11" s="4" t="inlineStr">
        <is>
          <t>Revisión Brief B</t>
        </is>
      </c>
    </row>
    <row r="12">
      <c r="A12" s="4" t="inlineStr">
        <is>
          <t>L-009</t>
        </is>
      </c>
      <c r="B12" s="4" t="inlineStr">
        <is>
          <t>Un guardia verificado por presencia y no por ejecución da falsa seguridad, que es peor que no tenerlo</t>
        </is>
      </c>
      <c r="C12" s="4" t="inlineStr">
        <is>
          <t>Auditoría gb2</t>
        </is>
      </c>
    </row>
    <row r="13">
      <c r="A13" s="4" t="inlineStr">
        <is>
          <t>L-010</t>
        </is>
      </c>
      <c r="B13" s="4" t="inlineStr">
        <is>
          <t>Los agentes no se activan solos porque tengan buena descripción: se activan si la cola contiene tareas de su tipo y el reparto enruta por tipo</t>
        </is>
      </c>
      <c r="C13" s="4" t="inlineStr">
        <is>
          <t>Auditoría gb2</t>
        </is>
      </c>
    </row>
    <row r="14">
      <c r="A14" s="4" t="inlineStr">
        <is>
          <t>L-011</t>
        </is>
      </c>
      <c r="B14" s="4" t="inlineStr">
        <is>
          <t>Tener una cola estricta no impide la deriva. gb2 la tenía ("trabajo que no está ahí no se ejecuta"), con IDs contiguos forzados por un hook, y aun así el 70% del esfuerzo se fue al motor. La cola controla QUÉ se ejecuta, no QUÉ se mete en la cola</t>
        </is>
      </c>
      <c r="C14" s="4" t="inlineStr">
        <is>
          <t>Auditoría gb2</t>
        </is>
      </c>
    </row>
    <row r="15">
      <c r="A15" s="4" t="inlineStr">
        <is>
          <t>L-012</t>
        </is>
      </c>
      <c r="B15" s="4" t="inlineStr">
        <is>
          <t>Dos agentes de acuerdo no son una prueba. En gb2 hubo tres diagnósticos seguidos del mismo componente, dos falsos; lo que los corrigió fue leer el código y reproducir el fallo, no debatir más</t>
        </is>
      </c>
      <c r="C15" s="4" t="inlineStr">
        <is>
          <t>Auditoría gb2</t>
        </is>
      </c>
    </row>
    <row r="16">
      <c r="A16" s="4" t="inlineStr">
        <is>
          <t>L-013</t>
        </is>
      </c>
      <c r="B16" s="4" t="inlineStr">
        <is>
          <t>Se trabajó una tarea sin ficha escrita antes: 01.01.02 era una fila de una línea sin alcance ni criterio de hecho, y el trabajo de apoyo se autoasignó alcance dentro de ella. La regla 5 de CLAUDE.md vale también para las tareas del CEO</t>
        </is>
      </c>
      <c r="C16" s="4" t="inlineStr">
        <is>
          <t>Revisión del cálculo de arrastre (01.01.02) por critico-codigo, 01/08</t>
        </is>
      </c>
    </row>
    <row r="17">
      <c r="A17" s="4" t="inlineStr">
        <is>
          <t>L-014</t>
        </is>
      </c>
      <c r="B17" s="4" t="inlineStr">
        <is>
          <t>Un supuesto expresado en porcentaje decidió el orden de magnitud sin declararse: fijar la actividad como porcentaje de velas operadas producía un multiplicador de coste x60-x69 entre velas que en valor absoluto cae a x4,3; la conclusión "1h es inviable" era un artefacto del supuesto</t>
        </is>
      </c>
      <c r="C17" s="4" t="inlineStr">
        <is>
          <t>Revisión de arrastre_coste.md, hallado por critico-codigo y confirmado con experimento ejecutado por validador, 01/08</t>
        </is>
      </c>
    </row>
    <row r="18">
      <c r="A18" s="4" t="inlineStr">
        <is>
          <t>L-015</t>
        </is>
      </c>
      <c r="B18" s="4" t="inlineStr">
        <is>
          <t>CLAUDE.md y este WBS llevan dos listas de «29 reglas» con contenido distinto bajo el mismo número: toda cita regla N es ambigua. Resuelto el 01/08/2026 por D-16: la lista normativa es la de CLAUDE.md; toda cita se escribe «regla N de CLAUDE.md»</t>
        </is>
      </c>
      <c r="C18" s="4" t="inlineStr">
        <is>
          <t>Revisión 01.02.03</t>
        </is>
      </c>
    </row>
    <row r="19">
      <c r="A19" s="4" t="inlineStr">
        <is>
          <t>L-016</t>
        </is>
      </c>
      <c r="B19" s="4" t="inlineStr">
        <is>
          <t>Un indicador que solo mira lo etiquetado es ciego justo donde importa: medir el reparto producto/motor contando solo commits con código WBS daba 20% cuando el real es 43,8%, porque commit-msg exime a meta:, org: y arranque:, que es donde vive el motor</t>
        </is>
      </c>
      <c r="C19" s="4" t="inlineStr">
        <is>
          <t>Revisión 01.02.03</t>
        </is>
      </c>
    </row>
    <row r="20">
      <c r="A20" s="4" t="inlineStr">
        <is>
          <t>L-017</t>
        </is>
      </c>
      <c r="B20" s="4" t="inlineStr">
        <is>
          <t>L-015 citaba mal su propia regla de grep: decía "la regla 20 de CLAUDE.md exige grep previo" cuando esa exigencia es la regla 12 de CLAUDE.md (la 20 es "se guardan todas las pruebas"). LECCIONES.md es de solo-añadir, así que no se corrige en su sitio, se anota aparte</t>
        </is>
      </c>
      <c r="C20" s="4" t="inlineStr">
        <is>
          <t>Tarea 03.01.13, pasada 1 (constructor-motor), 01/08</t>
        </is>
      </c>
    </row>
    <row r="21">
      <c r="A21" s="4" t="inlineStr">
        <is>
          <t>L-018</t>
        </is>
      </c>
      <c r="B21" s="4" t="inlineStr">
        <is>
          <t>Un recuento sin -i da cifras bajas aunque lo repitan dos agentes: quien ejecutó y quien revisó grepearon "regla" en minúscula y los dos dieron la misma cifra baja (5/3/36 en vez de 12/4/39), porque el error estaba en el método de los dos, no en el dato</t>
        </is>
      </c>
      <c r="C21" s="4" t="inlineStr">
        <is>
          <t>Tarea 03.01.13, pasada 2 (constructor-motor, ordenada tras el rechazo de la pasada 1), 01/08</t>
        </is>
      </c>
    </row>
  </sheetData>
  <mergeCells count="1">
    <mergeCell ref="A1:C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40" customWidth="1" min="1" max="1"/>
    <col width="96" customWidth="1" min="2" max="2"/>
  </cols>
  <sheetData>
    <row r="1" ht="24" customHeight="1">
      <c r="A1" s="1" t="inlineStr">
        <is>
          <t>AUTONOMIA — que llega al CEO y que no</t>
        </is>
      </c>
      <c r="B1" s="2" t="n"/>
    </row>
    <row r="3" ht="28" customHeight="1">
      <c r="A3" s="3" t="inlineStr">
        <is>
          <t>CUANDO</t>
        </is>
      </c>
      <c r="B3" s="3" t="inlineStr">
        <is>
          <t>QUE PASA</t>
        </is>
      </c>
    </row>
    <row r="4">
      <c r="A4" s="40" t="inlineStr">
        <is>
          <t>Lo cierra el equipo, sin consultar</t>
        </is>
      </c>
      <c r="B4" s="4" t="inlineStr">
        <is>
          <t>cerrar tareas que cumplen su criterio
· orden de tareas ya aprobadas
· subtareas dentro de alcance
· descartar hipótesis o variantes que no pasan el filtro
· reescribir tareas ambiguas
· mover, corregir o borrar archivos para mantener el orden (git deshace).</t>
        </is>
      </c>
    </row>
    <row r="5">
      <c r="A5" s="40" t="inlineStr">
        <is>
          <t>Llega al CEO, en el informe semanal</t>
        </is>
      </c>
      <c r="B5" s="4" t="inlineStr">
        <is>
          <t>mejoras del motor no previstas (sin aprobación, no se hacen)
· tareas nuevas de primer nivel.</t>
        </is>
      </c>
    </row>
    <row r="6">
      <c r="A6" s="40" t="inlineStr">
        <is>
          <t>Llega al CEO como excepción inmediata (se para hasta respuesta)</t>
        </is>
      </c>
      <c r="B6" s="4" t="inlineStr">
        <is>
          <t>gasto nuevo (datos de pago, VPS, broker, créditos extra)
· cualquier cosa con dinero real
· bloqueo de más de 24 h
· 3 vueltas del bucle de hipótesis sin éxito.</t>
        </is>
      </c>
    </row>
    <row r="7">
      <c r="A7" s="40" t="inlineStr">
        <is>
          <t>Llega al CEO solo en una puerta</t>
        </is>
      </c>
      <c r="B7" s="4" t="inlineStr">
        <is>
          <t>cambiar de mercado, de tamaño de vela o de planteamiento.</t>
        </is>
      </c>
    </row>
    <row r="9">
      <c r="A9" s="15" t="inlineStr">
        <is>
          <t>FORMATO OBLIGATORIO DE FICHA DE DECISION (regla 10)</t>
        </is>
      </c>
    </row>
    <row r="10" ht="100" customHeight="1">
      <c r="A10" s="35" t="inlineStr">
        <is>
          <t>D[n] — [Qué se decide, una línea]
A) [opción]   B) [opción]   C) [opción]
RECOMENDADA: [letra] — [motivo en una línea]
SI ELIGES OTRA: [consecuencia de cada una, una línea]
BLOQUEA: [qué tareas no pueden avanzar hasta que respondas]
RESPUESTA: [una letra]</t>
        </is>
      </c>
    </row>
  </sheetData>
  <mergeCells count="2">
    <mergeCell ref="A10:B10"/>
    <mergeCell ref="A1:B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30" customWidth="1" min="1" max="1"/>
  </cols>
  <sheetData>
    <row r="1" ht="24" customHeight="1">
      <c r="A1" s="1" t="inlineStr">
        <is>
          <t>LIMITES DEL CEO</t>
        </is>
      </c>
    </row>
    <row r="4" ht="34" customHeight="1">
      <c r="A4" s="4" t="inlineStr">
        <is>
          <t>Horizonte: 1 mes. Evaluación el 1 de septiembre (puerta GM). (D-5)</t>
        </is>
      </c>
    </row>
    <row r="5" ht="34" customHeight="1">
      <c r="A5" s="4" t="inlineStr">
        <is>
          <t>FECHA TOPE: 01/12/2026 (D-12). Si a esa fecha no hay ninguna estrategia en demo, el proyecto se cierra y se escribe el informe de por qué. Antes del 01/08/2026 no existía ninguna fecha de parada.</t>
        </is>
      </c>
    </row>
    <row r="6" ht="34" customHeight="1">
      <c r="A6" s="4" t="inlineStr">
        <is>
          <t>Revisión de avance el día 1 de cada mes (D-12): 01/09 (= GM), 01/10 y 01/11. Cada una puede PARAR el proyecto. Pregunta fija: «¿avanza por buen camino?».</t>
        </is>
      </c>
    </row>
    <row r="7" ht="34" customHeight="1">
      <c r="A7" s="4" t="inlineStr">
        <is>
          <t>Tiempo del CEO: 1 hora los lunes, como MÍNIMO GARANTIZADO, no como techo (D-4 + D-13). Máximo 5 fichas de decisión por revisión; si hay más, el orquestador prioriza y las sobrantes esperan al lunes siguiente. El CEO sigue el proyecto a diario, lo que NO amplía lo que se le puede preguntar.</t>
        </is>
      </c>
    </row>
    <row r="8" ht="34" customHeight="1">
      <c r="A8" s="4" t="inlineStr">
        <is>
          <t>Dinero real (D-14): capital 1.000-2.000 € (ya es entrada de G1-C6, D-11; cambiarlo obliga a re-verificar G1-C6). AVISO a -25% del capital inicial ingresado, que no para nada: se reporta y decide el CEO. PARADA DURA AUTOMÁTICA a -30% del capital inicial, aplicada por el bot de forma CONTINUA y sin exención activable desde dentro (regla 26 de CLAUDE.md). Se mide sobre el capital inicial ingresado, no sobre el máximo alcanzado. Recuperar desde -30% exige +43%.</t>
        </is>
      </c>
    </row>
  </sheetData>
  <mergeCells count="1">
    <mergeCell ref="A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2026-08-02T10:04:27Z</dcterms:created>
  <dcterms:modified xsi:type="dcterms:W3CDTF">2026-08-02T10:04:27Z</dcterms:modified>
</cp:coreProperties>
</file>