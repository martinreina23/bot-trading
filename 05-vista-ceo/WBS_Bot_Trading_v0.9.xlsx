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SIGUIENTE" sheetId="2" state="visible" r:id="rId2"/>
    <sheet name="TAREAS" sheetId="3" state="visible" r:id="rId3"/>
    <sheet name="CALENDARIO" sheetId="4" state="visible" r:id="rId4"/>
    <sheet name="PUERTAS" sheetId="5" state="visible" r:id="rId5"/>
    <sheet name="EQUIPO" sheetId="6" state="visible" r:id="rId6"/>
    <sheet name="REGLAS" sheetId="7" state="visible" r:id="rId7"/>
    <sheet name="DECISIONES" sheetId="8" state="visible" r:id="rId8"/>
    <sheet name="LECCIONES" sheetId="9" state="visible" r:id="rId9"/>
    <sheet name="AUTONOMIA" sheetId="10" state="visible" r:id="rId10"/>
    <sheet name="LIMITES CEO" sheetId="11" state="visible" r:id="rId11"/>
  </sheets>
  <definedNames>
    <definedName name="_xlnm._FilterDatabase" localSheetId="2" hidden="1">'TAREAS'!$A$4:$G$73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3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49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8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9" borderId="1" pivotButton="0" quotePrefix="0" xfId="0"/>
    <xf numFmtId="0" fontId="2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3" fillId="5" borderId="1" pivotButton="0" quotePrefix="0" xfId="0"/>
    <xf numFmtId="49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top" wrapText="1"/>
    </xf>
    <xf numFmtId="49" fontId="3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49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 ht="24" customHeight="1">
      <c r="A1" s="1" t="inlineStr">
        <is>
          <t>PANEL — BOT DE TRADING · puerta del mes (GM): 1 de septiembre de 2026</t>
        </is>
      </c>
      <c r="B1" s="2" t="n"/>
      <c r="C1" s="2" t="n"/>
      <c r="D1" s="2" t="n"/>
      <c r="E1" s="2" t="n"/>
      <c r="F1" s="2" t="n"/>
      <c r="G1" s="2" t="n"/>
    </row>
    <row r="3" ht="28" customHeight="1">
      <c r="A3" s="3" t="inlineStr">
        <is>
          <t>FASE</t>
        </is>
      </c>
      <c r="B3" s="3" t="inlineStr">
        <is>
          <t>TAREAS</t>
        </is>
      </c>
      <c r="C3" s="3" t="inlineStr">
        <is>
          <t>HECHAS</t>
        </is>
      </c>
      <c r="D3" s="3" t="inlineStr">
        <is>
          <t>EN CURSO</t>
        </is>
      </c>
      <c r="E3" s="3" t="inlineStr">
        <is>
          <t>PENDIENTES</t>
        </is>
      </c>
      <c r="F3" s="3" t="inlineStr">
        <is>
          <t>BLOQUEADAS</t>
        </is>
      </c>
      <c r="G3" s="3" t="inlineStr">
        <is>
          <t>% AVANCE</t>
        </is>
      </c>
    </row>
    <row r="4">
      <c r="A4" s="4" t="inlineStr">
        <is>
          <t>01. Arranque</t>
        </is>
      </c>
      <c r="B4" s="5">
        <f>COUNTIFS(TAREAS!$A$5:$A$73,"01.??.??")</f>
        <v/>
      </c>
      <c r="C4" s="5">
        <f>COUNTIFS(TAREAS!$A$5:$A$73,"01.??.??",TAREAS!$E$5:$E$73,"Hecha")</f>
        <v/>
      </c>
      <c r="D4" s="5">
        <f>COUNTIFS(TAREAS!$A$5:$A$73,"01.??.??",TAREAS!$E$5:$E$73,"En curso")</f>
        <v/>
      </c>
      <c r="E4" s="5">
        <f>COUNTIFS(TAREAS!$A$5:$A$73,"01.??.??",TAREAS!$E$5:$E$73,"Pendiente")</f>
        <v/>
      </c>
      <c r="F4" s="5">
        <f>COUNTIFS(TAREAS!$A$5:$A$73,"01.??.??",TAREAS!$E$5:$E$73,"Bloqueada")</f>
        <v/>
      </c>
      <c r="G4" s="6">
        <f>IFERROR(C4/B4,0)</f>
        <v/>
      </c>
    </row>
    <row r="5">
      <c r="A5" s="4" t="inlineStr">
        <is>
          <t>02. Elegir mercado y tamaño de vela</t>
        </is>
      </c>
      <c r="B5" s="5">
        <f>COUNTIFS(TAREAS!$A$5:$A$73,"02.??.??")</f>
        <v/>
      </c>
      <c r="C5" s="5">
        <f>COUNTIFS(TAREAS!$A$5:$A$73,"02.??.??",TAREAS!$E$5:$E$73,"Hecha")</f>
        <v/>
      </c>
      <c r="D5" s="5">
        <f>COUNTIFS(TAREAS!$A$5:$A$73,"02.??.??",TAREAS!$E$5:$E$73,"En curso")</f>
        <v/>
      </c>
      <c r="E5" s="5">
        <f>COUNTIFS(TAREAS!$A$5:$A$73,"02.??.??",TAREAS!$E$5:$E$73,"Pendiente")</f>
        <v/>
      </c>
      <c r="F5" s="5">
        <f>COUNTIFS(TAREAS!$A$5:$A$73,"02.??.??",TAREAS!$E$5:$E$73,"Bloqueada")</f>
        <v/>
      </c>
      <c r="G5" s="6">
        <f>IFERROR(C5/B5,0)</f>
        <v/>
      </c>
    </row>
    <row r="6">
      <c r="A6" s="4" t="inlineStr">
        <is>
          <t>03. Montar la casa</t>
        </is>
      </c>
      <c r="B6" s="5">
        <f>COUNTIFS(TAREAS!$A$5:$A$73,"03.??.??")</f>
        <v/>
      </c>
      <c r="C6" s="5">
        <f>COUNTIFS(TAREAS!$A$5:$A$73,"03.??.??",TAREAS!$E$5:$E$73,"Hecha")</f>
        <v/>
      </c>
      <c r="D6" s="5">
        <f>COUNTIFS(TAREAS!$A$5:$A$73,"03.??.??",TAREAS!$E$5:$E$73,"En curso")</f>
        <v/>
      </c>
      <c r="E6" s="5">
        <f>COUNTIFS(TAREAS!$A$5:$A$73,"03.??.??",TAREAS!$E$5:$E$73,"Pendiente")</f>
        <v/>
      </c>
      <c r="F6" s="5">
        <f>COUNTIFS(TAREAS!$A$5:$A$73,"03.??.??",TAREAS!$E$5:$E$73,"Bloqueada")</f>
        <v/>
      </c>
      <c r="G6" s="6">
        <f>IFERROR(C6/B6,0)</f>
        <v/>
      </c>
    </row>
    <row r="7">
      <c r="A7" s="4" t="inlineStr">
        <is>
          <t>04. Hipótesis y validación</t>
        </is>
      </c>
      <c r="B7" s="5">
        <f>COUNTIFS(TAREAS!$A$5:$A$73,"04.??.??")</f>
        <v/>
      </c>
      <c r="C7" s="5">
        <f>COUNTIFS(TAREAS!$A$5:$A$73,"04.??.??",TAREAS!$E$5:$E$73,"Hecha")</f>
        <v/>
      </c>
      <c r="D7" s="5">
        <f>COUNTIFS(TAREAS!$A$5:$A$73,"04.??.??",TAREAS!$E$5:$E$73,"En curso")</f>
        <v/>
      </c>
      <c r="E7" s="5">
        <f>COUNTIFS(TAREAS!$A$5:$A$73,"04.??.??",TAREAS!$E$5:$E$73,"Pendiente")</f>
        <v/>
      </c>
      <c r="F7" s="5">
        <f>COUNTIFS(TAREAS!$A$5:$A$73,"04.??.??",TAREAS!$E$5:$E$73,"Bloqueada")</f>
        <v/>
      </c>
      <c r="G7" s="6">
        <f>IFERROR(C7/B7,0)</f>
        <v/>
      </c>
    </row>
    <row r="8">
      <c r="A8" s="4" t="inlineStr">
        <is>
          <t>05. Demo</t>
        </is>
      </c>
      <c r="B8" s="5">
        <f>COUNTIFS(TAREAS!$A$5:$A$73,"05.??.??")</f>
        <v/>
      </c>
      <c r="C8" s="5">
        <f>COUNTIFS(TAREAS!$A$5:$A$73,"05.??.??",TAREAS!$E$5:$E$73,"Hecha")</f>
        <v/>
      </c>
      <c r="D8" s="5">
        <f>COUNTIFS(TAREAS!$A$5:$A$73,"05.??.??",TAREAS!$E$5:$E$73,"En curso")</f>
        <v/>
      </c>
      <c r="E8" s="5">
        <f>COUNTIFS(TAREAS!$A$5:$A$73,"05.??.??",TAREAS!$E$5:$E$73,"Pendiente")</f>
        <v/>
      </c>
      <c r="F8" s="5">
        <f>COUNTIFS(TAREAS!$A$5:$A$73,"05.??.??",TAREAS!$E$5:$E$73,"Bloqueada")</f>
        <v/>
      </c>
      <c r="G8" s="6">
        <f>IFERROR(C8/B8,0)</f>
        <v/>
      </c>
    </row>
    <row r="9">
      <c r="A9" s="4" t="inlineStr">
        <is>
          <t>06. Real</t>
        </is>
      </c>
      <c r="B9" s="5">
        <f>COUNTIFS(TAREAS!$A$5:$A$73,"06.??.??")</f>
        <v/>
      </c>
      <c r="C9" s="5">
        <f>COUNTIFS(TAREAS!$A$5:$A$73,"06.??.??",TAREAS!$E$5:$E$73,"Hecha")</f>
        <v/>
      </c>
      <c r="D9" s="5">
        <f>COUNTIFS(TAREAS!$A$5:$A$73,"06.??.??",TAREAS!$E$5:$E$73,"En curso")</f>
        <v/>
      </c>
      <c r="E9" s="5">
        <f>COUNTIFS(TAREAS!$A$5:$A$73,"06.??.??",TAREAS!$E$5:$E$73,"Pendiente")</f>
        <v/>
      </c>
      <c r="F9" s="5">
        <f>COUNTIFS(TAREAS!$A$5:$A$73,"06.??.??",TAREAS!$E$5:$E$73,"Bloqueada")</f>
        <v/>
      </c>
      <c r="G9" s="6">
        <f>IFERROR(C9/B9,0)</f>
        <v/>
      </c>
    </row>
    <row r="10">
      <c r="A10" s="4" t="inlineStr">
        <is>
          <t>07. Motor y orden</t>
        </is>
      </c>
      <c r="B10" s="5">
        <f>COUNTIFS(TAREAS!$A$5:$A$73,"07.??.??")</f>
        <v/>
      </c>
      <c r="C10" s="5">
        <f>COUNTIFS(TAREAS!$A$5:$A$73,"07.??.??",TAREAS!$E$5:$E$73,"Hecha")</f>
        <v/>
      </c>
      <c r="D10" s="5">
        <f>COUNTIFS(TAREAS!$A$5:$A$73,"07.??.??",TAREAS!$E$5:$E$73,"En curso")</f>
        <v/>
      </c>
      <c r="E10" s="5">
        <f>COUNTIFS(TAREAS!$A$5:$A$73,"07.??.??",TAREAS!$E$5:$E$73,"Pendiente")</f>
        <v/>
      </c>
      <c r="F10" s="5">
        <f>COUNTIFS(TAREAS!$A$5:$A$73,"07.??.??",TAREAS!$E$5:$E$73,"Bloqueada")</f>
        <v/>
      </c>
      <c r="G10" s="6">
        <f>IFERROR(C10/B10,0)</f>
        <v/>
      </c>
    </row>
    <row r="11">
      <c r="A11" s="7" t="inlineStr">
        <is>
          <t>TOTAL PROYECTO</t>
        </is>
      </c>
      <c r="B11" s="8">
        <f>SUM(B4:B10)</f>
        <v/>
      </c>
      <c r="C11" s="8">
        <f>SUM(C4:C10)</f>
        <v/>
      </c>
      <c r="D11" s="8">
        <f>SUM(D4:D10)</f>
        <v/>
      </c>
      <c r="E11" s="8">
        <f>SUM(E4:E10)</f>
        <v/>
      </c>
      <c r="F11" s="8">
        <f>SUM(F4:F10)</f>
        <v/>
      </c>
      <c r="G11" s="9">
        <f>IFERROR(C11/B11,0)</f>
        <v/>
      </c>
    </row>
    <row r="13">
      <c r="A13" s="10" t="inlineStr">
        <is>
          <t>ESTADO DE HOY (leido de WBS.md)</t>
        </is>
      </c>
    </row>
    <row r="14" ht="28" customHeight="1">
      <c r="A14" s="3" t="inlineStr">
        <is>
          <t>CODIGO</t>
        </is>
      </c>
      <c r="B14" s="3" t="inlineStr">
        <is>
          <t>TAREA</t>
        </is>
      </c>
      <c r="C14" s="11" t="n"/>
      <c r="D14" s="11" t="n"/>
      <c r="E14" s="11" t="n"/>
      <c r="F14" s="12" t="n"/>
      <c r="G14" s="3" t="inlineStr">
        <is>
          <t>ESTADO</t>
        </is>
      </c>
    </row>
    <row r="15">
      <c r="A15" s="13" t="inlineStr">
        <is>
          <t>03.01.08</t>
        </is>
      </c>
      <c r="B15" s="4" t="inlineStr">
        <is>
          <t>Prueba de fuego de las barreras (regla 25 de CLAUDE.md): inyectar cada caso prohibido —leer el cajón reservado, escribir fuera del proyecto, borrar datos, gastar dinero— y comprobar que se bloquea de verdad. Lo que no se bloquee se marca "no verificada"</t>
        </is>
      </c>
      <c r="C15" s="4" t="n"/>
      <c r="D15" s="4" t="n"/>
      <c r="E15" s="4" t="n"/>
      <c r="F15" s="4" t="n"/>
      <c r="G15" s="14" t="inlineStr">
        <is>
          <t>En curso</t>
        </is>
      </c>
    </row>
    <row r="16">
      <c r="A16" s="13" t="inlineStr">
        <is>
          <t>03.01.11</t>
        </is>
      </c>
      <c r="B16" s="4" t="inlineStr">
        <is>
          <t>NUEVA 31/07 (D-10): guardia del cajon reservado por cifrado. Script cajon_reservado.py: la contraseña solo la tiene el CEO, no se guarda, se pide en cada operacion y nada se descifra a disco</t>
        </is>
      </c>
      <c r="C16" s="4" t="n"/>
      <c r="D16" s="4" t="n"/>
      <c r="E16" s="4" t="n"/>
      <c r="F16" s="4" t="n"/>
      <c r="G16" s="14" t="inlineStr">
        <is>
          <t>En curso</t>
        </is>
      </c>
    </row>
    <row r="17">
      <c r="A17" s="13" t="inlineStr">
        <is>
          <t>07.01.03</t>
        </is>
      </c>
      <c r="B17" s="4" t="inlineStr">
        <is>
          <t>NUEVA 03/08 (incidente de proceso): auditar todo lo escrito el 03/08/2026 entre las 21:44 y las 21:58 sin flujo de cuatro capas, y el residuo sin commitear del tramo anterior</t>
        </is>
      </c>
      <c r="C17" s="4" t="n"/>
      <c r="D17" s="4" t="n"/>
      <c r="E17" s="4" t="n"/>
      <c r="F17" s="4" t="n"/>
      <c r="G17" s="14" t="inlineStr">
        <is>
          <t>En curso</t>
        </is>
      </c>
    </row>
    <row r="19">
      <c r="A19" s="15" t="inlineStr">
        <is>
          <t>PROXIMA PUERTA</t>
        </is>
      </c>
      <c r="B19" s="16" t="inlineStr">
        <is>
          <t>G1 — elegir mercado y tamaño de vela (criterios en la hoja PUERTAS)</t>
        </is>
      </c>
    </row>
    <row r="20">
      <c r="A20" s="15" t="inlineStr">
        <is>
          <t>OBJETIVO DEL MES</t>
        </is>
      </c>
      <c r="B20" s="16" t="inlineStr">
        <is>
          <t>Llegar al 1 de septiembre con respuesta a: ¿existe alguna estrategia que merezca pasar a demo?</t>
        </is>
      </c>
    </row>
    <row r="21">
      <c r="A21" s="15" t="inlineStr">
        <is>
          <t>FUENTE DE VERDAD</t>
        </is>
      </c>
      <c r="B21" s="16" t="inlineStr">
        <is>
          <t>00-direccion/WBS.md — este Excel se genera de ahi. Si discrepan, manda el texto.</t>
        </is>
      </c>
    </row>
    <row r="25">
      <c r="A25" s="15" t="inlineStr">
        <is>
          <t>LEYENDA</t>
        </is>
      </c>
    </row>
    <row r="26">
      <c r="A26" s="17" t="inlineStr">
        <is>
          <t>Hecha</t>
        </is>
      </c>
    </row>
    <row r="27">
      <c r="A27" s="18" t="inlineStr">
        <is>
          <t>En curso</t>
        </is>
      </c>
    </row>
    <row r="28">
      <c r="A28" s="19" t="inlineStr">
        <is>
          <t>Pendiente</t>
        </is>
      </c>
    </row>
    <row r="29">
      <c r="A29" s="20" t="inlineStr">
        <is>
          <t>Bloqueada</t>
        </is>
      </c>
    </row>
  </sheetData>
  <mergeCells count="8">
    <mergeCell ref="B19:G19"/>
    <mergeCell ref="B20:G20"/>
    <mergeCell ref="A1:G1"/>
    <mergeCell ref="B16:F16"/>
    <mergeCell ref="B15:F15"/>
    <mergeCell ref="B14:F14"/>
    <mergeCell ref="B21:G21"/>
    <mergeCell ref="B17:F17"/>
  </mergeCells>
  <conditionalFormatting sqref="G4:G11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56" customWidth="1" min="3" max="3"/>
    <col width="21" customWidth="1" min="4" max="4"/>
    <col width="11" customWidth="1" min="5" max="5"/>
    <col width="12" customWidth="1" min="6" max="6"/>
    <col width="12" customWidth="1" min="7" max="7"/>
    <col width="11" customWidth="1" min="8" max="8"/>
    <col width="42" customWidth="1" min="9" max="9"/>
  </cols>
  <sheetData>
    <row r="1" ht="24" customHeight="1">
      <c r="A1" s="1" t="inlineStr">
        <is>
          <t>QUE SE HACE AHORA Y EN QUE ORDEN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1" t="inlineStr">
        <is>
          <t>Orden calculado de WBS.md: (1) una tarea entra en la cola cuando TODAS sus dependencias estan hechas; (2) primero lo ya empezado; (3) despues el PRODUCTO antes que el MOTOR (regla 12: el motor no manda); (4) a igualdad, orden de codigo WBS (regla 4). MOTOR = fases 03 y 07 y lo que su texto marque como tal. DESBLOQUEA = tareas vivas que la esperan directamente · EN CADENA = todas las que quedan detras contando el efecto domino.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</row>
    <row r="4" ht="34" customHeight="1">
      <c r="A4" s="23" t="inlineStr">
        <is>
          <t>AHORA — EQUIPO</t>
        </is>
      </c>
      <c r="B4" s="24" t="n"/>
      <c r="C4" s="25" t="inlineStr">
        <is>
          <t>03.01.08 — Prueba de fuego de las barreras (regla 25 de CLAUDE.md): inyectar cada caso prohibido —leer el cajón reservado, escribir fuera del proyecto, borrar datos, gastar dinero— y comprobar que se bloquea de verdad. Lo que no se bloquee se marca "no verificada"</t>
        </is>
      </c>
      <c r="D4" s="24" t="n"/>
      <c r="E4" s="24" t="n"/>
      <c r="F4" s="24" t="n"/>
      <c r="G4" s="24" t="n"/>
      <c r="H4" s="24" t="n"/>
      <c r="I4" s="25" t="inlineStr">
        <is>
          <t>Crítico</t>
        </is>
      </c>
    </row>
    <row r="5" ht="34" customHeight="1">
      <c r="A5" s="26" t="inlineStr">
        <is>
          <t>AHORA — CEO</t>
        </is>
      </c>
      <c r="B5" s="27" t="n"/>
      <c r="C5" s="28" t="inlineStr">
        <is>
          <t>04.01.01 — Comparar 3-4 brokers del mercado elegido; elegir uno y abrir demo (CEO firma)</t>
        </is>
      </c>
      <c r="D5" s="27" t="n"/>
      <c r="E5" s="27" t="n"/>
      <c r="F5" s="27" t="n"/>
      <c r="G5" s="27" t="n"/>
      <c r="H5" s="27" t="n"/>
      <c r="I5" s="28" t="inlineStr">
        <is>
          <t>CEO + Orquestador</t>
        </is>
      </c>
    </row>
    <row r="6" ht="34" customHeight="1">
      <c r="A6" s="29" t="inlineStr">
        <is>
          <t>CUELLO DE BOTELLA</t>
        </is>
      </c>
      <c r="B6" s="30" t="n"/>
      <c r="C6" s="31" t="inlineStr">
        <is>
          <t>04.02.01 — Barrido de fuentes: papers, libros, foros, GitHub, X. Regla: mínimo 2 fuentes independientes verificables por idea; vendedores de cursos/señales no son fuente. Detras de ella esperan 16 de las 39 tareas vivas.</t>
        </is>
      </c>
      <c r="D6" s="30" t="n"/>
      <c r="E6" s="30" t="n"/>
      <c r="F6" s="30" t="n"/>
      <c r="G6" s="30" t="n"/>
      <c r="H6" s="30" t="n"/>
      <c r="I6" s="31" t="inlineStr">
        <is>
          <t>Investigador</t>
        </is>
      </c>
    </row>
    <row r="8" ht="28" customHeight="1">
      <c r="A8" s="3" t="inlineStr">
        <is>
          <t>ORDEN</t>
        </is>
      </c>
      <c r="B8" s="3" t="inlineStr">
        <is>
          <t>CODIGO</t>
        </is>
      </c>
      <c r="C8" s="3" t="inlineStr">
        <is>
          <t>QUE HAY QUE HACER</t>
        </is>
      </c>
      <c r="D8" s="3" t="inlineStr">
        <is>
          <t>QUIEN</t>
        </is>
      </c>
      <c r="E8" s="3" t="inlineStr">
        <is>
          <t>CARRIL</t>
        </is>
      </c>
      <c r="F8" s="3" t="inlineStr">
        <is>
          <t>ESTADO</t>
        </is>
      </c>
      <c r="G8" s="3" t="inlineStr">
        <is>
          <t>DESBLOQUEA</t>
        </is>
      </c>
      <c r="H8" s="3" t="inlineStr">
        <is>
          <t>EN CADENA</t>
        </is>
      </c>
      <c r="I8" s="3" t="inlineStr">
        <is>
          <t>QUE FALTA PARA PODER EMPEZARLA</t>
        </is>
      </c>
    </row>
    <row r="9">
      <c r="A9" s="32" t="inlineStr">
        <is>
          <t>SE PUEDE TRABAJAR YA — 17 tareas, en este orden</t>
        </is>
      </c>
      <c r="B9" s="32" t="n"/>
      <c r="C9" s="32" t="n"/>
      <c r="D9" s="32" t="n"/>
      <c r="E9" s="32" t="n"/>
      <c r="F9" s="32" t="n"/>
      <c r="G9" s="32" t="n"/>
      <c r="H9" s="32" t="n"/>
      <c r="I9" s="32" t="n"/>
    </row>
    <row r="10">
      <c r="A10" s="5" t="n">
        <v>1</v>
      </c>
      <c r="B10" s="33" t="inlineStr">
        <is>
          <t>03.01.08</t>
        </is>
      </c>
      <c r="C10" s="4" t="inlineStr">
        <is>
          <t>Prueba de fuego de las barreras (regla 25 de CLAUDE.md): inyectar cada caso prohibido —leer el cajón reservado, escribir fuera del proyecto, borrar datos, gastar dinero— y comprobar que se bloquea de verdad. Lo que no se bloquee se marca "no verificada"</t>
        </is>
      </c>
      <c r="D10" s="4" t="inlineStr">
        <is>
          <t>Crítico</t>
        </is>
      </c>
      <c r="E10" s="34" t="inlineStr">
        <is>
          <t>MOTOR</t>
        </is>
      </c>
      <c r="F10" s="14" t="inlineStr">
        <is>
          <t>En curso</t>
        </is>
      </c>
      <c r="G10" s="5" t="n">
        <v>1</v>
      </c>
      <c r="H10" s="5" t="n">
        <v>1</v>
      </c>
      <c r="I10" s="4" t="inlineStr">
        <is>
          <t>nada: se puede empezar ya</t>
        </is>
      </c>
    </row>
    <row r="11">
      <c r="A11" s="5" t="n">
        <v>2</v>
      </c>
      <c r="B11" s="33" t="inlineStr">
        <is>
          <t>07.01.03</t>
        </is>
      </c>
      <c r="C11" s="4" t="inlineStr">
        <is>
          <t>NUEVA 03/08 (incidente de proceso): auditar todo lo escrito el 03/08/2026 entre las 21:44 y las 21:58 sin flujo de cuatro capas, y el residuo sin commitear del tramo anterior</t>
        </is>
      </c>
      <c r="D11" s="4" t="inlineStr">
        <is>
          <t>Orquestador</t>
        </is>
      </c>
      <c r="E11" s="34" t="inlineStr">
        <is>
          <t>MOTOR</t>
        </is>
      </c>
      <c r="F11" s="14" t="inlineStr">
        <is>
          <t>En curso</t>
        </is>
      </c>
      <c r="G11" s="5" t="inlineStr"/>
      <c r="H11" s="5" t="inlineStr"/>
      <c r="I11" s="4" t="inlineStr">
        <is>
          <t>nada: se puede empezar ya</t>
        </is>
      </c>
    </row>
    <row r="12">
      <c r="A12" s="5" t="n">
        <v>3</v>
      </c>
      <c r="B12" s="33" t="inlineStr">
        <is>
          <t>04.01.01</t>
        </is>
      </c>
      <c r="C12" s="4" t="inlineStr">
        <is>
          <t>Comparar 3-4 brokers del mercado elegido; elegir uno y abrir demo (CEO firma)</t>
        </is>
      </c>
      <c r="D12" s="28" t="inlineStr">
        <is>
          <t>CEO + Orquestador</t>
        </is>
      </c>
      <c r="E12" s="5" t="inlineStr">
        <is>
          <t>PRODUCTO</t>
        </is>
      </c>
      <c r="F12" s="5" t="inlineStr">
        <is>
          <t>Pendiente</t>
        </is>
      </c>
      <c r="G12" s="5" t="n">
        <v>2</v>
      </c>
      <c r="H12" s="5" t="n">
        <v>15</v>
      </c>
      <c r="I12" s="4" t="inlineStr">
        <is>
          <t>nada: se puede empezar ya</t>
        </is>
      </c>
    </row>
    <row r="13">
      <c r="A13" s="5" t="n">
        <v>4</v>
      </c>
      <c r="B13" s="33" t="inlineStr">
        <is>
          <t>04.02.01</t>
        </is>
      </c>
      <c r="C13" s="4" t="inlineStr">
        <is>
          <t>Barrido de fuentes: papers, libros, foros, GitHub, X. Regla: mínimo 2 fuentes independientes verificables por idea; vendedores de cursos/señales no son fuente</t>
        </is>
      </c>
      <c r="D13" s="4" t="inlineStr">
        <is>
          <t>Investigador</t>
        </is>
      </c>
      <c r="E13" s="5" t="inlineStr">
        <is>
          <t>PRODUCTO</t>
        </is>
      </c>
      <c r="F13" s="5" t="inlineStr">
        <is>
          <t>Pendiente</t>
        </is>
      </c>
      <c r="G13" s="5" t="n">
        <v>1</v>
      </c>
      <c r="H13" s="5" t="n">
        <v>16</v>
      </c>
      <c r="I13" s="4" t="inlineStr">
        <is>
          <t>nada: se puede empezar ya</t>
        </is>
      </c>
    </row>
    <row r="14">
      <c r="A14" s="5" t="n">
        <v>5</v>
      </c>
      <c r="B14" s="33" t="inlineStr">
        <is>
          <t>03.01.03</t>
        </is>
      </c>
      <c r="C14" s="4" t="inlineStr">
        <is>
          <t>Ejecución desatendida: arranques programados, permisos AMPLIOS por defecto (git como red de seguridad) y topes de gasto</t>
        </is>
      </c>
      <c r="D14" s="4" t="inlineStr">
        <is>
          <t>Constructores</t>
        </is>
      </c>
      <c r="E14" s="34" t="inlineStr">
        <is>
          <t>MOTOR</t>
        </is>
      </c>
      <c r="F14" s="5" t="inlineStr">
        <is>
          <t>Pendiente</t>
        </is>
      </c>
      <c r="G14" s="5" t="n">
        <v>1</v>
      </c>
      <c r="H14" s="5" t="n">
        <v>1</v>
      </c>
      <c r="I14" s="4" t="inlineStr">
        <is>
          <t>nada: se puede empezar ya</t>
        </is>
      </c>
    </row>
    <row r="15">
      <c r="A15" s="5" t="n">
        <v>6</v>
      </c>
      <c r="B15" s="33" t="inlineStr">
        <is>
          <t>03.01.04</t>
        </is>
      </c>
      <c r="C15" s="4" t="inlineStr">
        <is>
          <t>Plan de respaldo de modelos: si un modelo no está disponible o rechaza, el agente sigue con su respaldo y lo anota</t>
        </is>
      </c>
      <c r="D15" s="4" t="inlineStr">
        <is>
          <t>Constructores</t>
        </is>
      </c>
      <c r="E15" s="34" t="inlineStr">
        <is>
          <t>MOTOR</t>
        </is>
      </c>
      <c r="F15" s="5" t="inlineStr">
        <is>
          <t>Pendiente</t>
        </is>
      </c>
      <c r="G15" s="5" t="n">
        <v>1</v>
      </c>
      <c r="H15" s="5" t="n">
        <v>1</v>
      </c>
      <c r="I15" s="4" t="inlineStr">
        <is>
          <t>nada: se puede empezar ya</t>
        </is>
      </c>
    </row>
    <row r="16">
      <c r="A16" s="5" t="n">
        <v>7</v>
      </c>
      <c r="B16" s="33" t="inlineStr">
        <is>
          <t>03.01.06</t>
        </is>
      </c>
      <c r="C16" s="4" t="inlineStr">
        <is>
          <t>Plantilla y automatismo de fichas de decisión: el secretario prepara cada decisión del CEO en el formato obligatorio y la adjunta al informe semanal</t>
        </is>
      </c>
      <c r="D16" s="4" t="inlineStr">
        <is>
          <t>Secretario</t>
        </is>
      </c>
      <c r="E16" s="34" t="inlineStr">
        <is>
          <t>MOTOR</t>
        </is>
      </c>
      <c r="F16" s="5" t="inlineStr">
        <is>
          <t>Pendiente</t>
        </is>
      </c>
      <c r="G16" s="5" t="n">
        <v>1</v>
      </c>
      <c r="H16" s="5" t="n">
        <v>1</v>
      </c>
      <c r="I16" s="4" t="inlineStr">
        <is>
          <t>nada: se puede empezar ya</t>
        </is>
      </c>
    </row>
    <row r="17">
      <c r="A17" s="5" t="n">
        <v>8</v>
      </c>
      <c r="B17" s="33" t="inlineStr">
        <is>
          <t>03.01.09</t>
        </is>
      </c>
      <c r="C17" s="4" t="inlineStr">
        <is>
          <t>Enrutado por tipo de tarea y comprobación de que el WBS genera tareas de cada tipo de agente (ver L-010 de LECCIONES.md; sin número propio en CLAUDE.md)</t>
        </is>
      </c>
      <c r="D17" s="4" t="inlineStr">
        <is>
          <t>Constructores</t>
        </is>
      </c>
      <c r="E17" s="34" t="inlineStr">
        <is>
          <t>MOTOR</t>
        </is>
      </c>
      <c r="F17" s="5" t="inlineStr">
        <is>
          <t>Pendiente</t>
        </is>
      </c>
      <c r="G17" s="5" t="inlineStr"/>
      <c r="H17" s="5" t="inlineStr"/>
      <c r="I17" s="4" t="inlineStr">
        <is>
          <t>nada: se puede empezar ya</t>
        </is>
      </c>
    </row>
    <row r="18">
      <c r="A18" s="5" t="n">
        <v>9</v>
      </c>
      <c r="B18" s="33" t="inlineStr">
        <is>
          <t>03.01.10</t>
        </is>
      </c>
      <c r="C18" s="4" t="inlineStr">
        <is>
          <t>Testbed sintético de invarianza: resultado de referencia fijo que debe reproducirse tras cualquier cambio del motor</t>
        </is>
      </c>
      <c r="D18" s="4" t="inlineStr">
        <is>
          <t>Constructores</t>
        </is>
      </c>
      <c r="E18" s="34" t="inlineStr">
        <is>
          <t>MOTOR</t>
        </is>
      </c>
      <c r="F18" s="5" t="inlineStr">
        <is>
          <t>Pendiente</t>
        </is>
      </c>
      <c r="G18" s="5" t="inlineStr"/>
      <c r="H18" s="5" t="inlineStr"/>
      <c r="I18" s="4" t="inlineStr">
        <is>
          <t>nada: se puede empezar ya</t>
        </is>
      </c>
    </row>
    <row r="19">
      <c r="A19" s="5" t="n">
        <v>10</v>
      </c>
      <c r="B19" s="33" t="inlineStr">
        <is>
          <t>03.01.12</t>
        </is>
      </c>
      <c r="C19" s="4" t="inlineStr">
        <is>
          <t>NUEVA 01/08 (petición del CEO): fijar la estrategia de ramas de git. Criterio del CEO, literal: que dé agilidad, no complejidad</t>
        </is>
      </c>
      <c r="D19" s="4" t="inlineStr">
        <is>
          <t>Constructores</t>
        </is>
      </c>
      <c r="E19" s="34" t="inlineStr">
        <is>
          <t>MOTOR</t>
        </is>
      </c>
      <c r="F19" s="5" t="inlineStr">
        <is>
          <t>Pendiente</t>
        </is>
      </c>
      <c r="G19" s="5" t="inlineStr"/>
      <c r="H19" s="5" t="inlineStr"/>
      <c r="I19" s="4" t="inlineStr">
        <is>
          <t>nada: se puede empezar ya</t>
        </is>
      </c>
    </row>
    <row r="20">
      <c r="A20" s="5" t="n">
        <v>11</v>
      </c>
      <c r="B20" s="33" t="inlineStr">
        <is>
          <t>03.01.14</t>
        </is>
      </c>
      <c r="C20" s="4" t="inlineStr">
        <is>
          <t>NUEVA 01/08 (deuda detectada al cerrar 03.01.13): la hoja REGLAS del Excel del CEO la construye 05-vista-ceo/generar_excel.py leyendo las líneas numeradas de la sección de reglas del WBS, que tras D-16 ya no existen: la hoja saldría vacía bajo el título «LAS 29 REGLAS», y verificar_excel.py no comprueba esa hoja, así que sus 8 pruebas pasarían igual (L-016). Hay que leer las reglas de CLAUDE.md y añadir una prueba que falle si la hoja sale vacía. Deuda de motor: no se ejecuta sin permiso del CEO.</t>
        </is>
      </c>
      <c r="D20" s="4" t="inlineStr">
        <is>
          <t>Constructores</t>
        </is>
      </c>
      <c r="E20" s="34" t="inlineStr">
        <is>
          <t>MOTOR</t>
        </is>
      </c>
      <c r="F20" s="5" t="inlineStr">
        <is>
          <t>Pendiente</t>
        </is>
      </c>
      <c r="G20" s="5" t="n">
        <v>1</v>
      </c>
      <c r="H20" s="5" t="n">
        <v>1</v>
      </c>
      <c r="I20" s="4" t="inlineStr">
        <is>
          <t>nada: se puede empezar ya</t>
        </is>
      </c>
    </row>
    <row r="21">
      <c r="A21" s="5" t="n">
        <v>12</v>
      </c>
      <c r="B21" s="33" t="inlineStr">
        <is>
          <t>03.01.15</t>
        </is>
      </c>
      <c r="C21" s="4" t="inlineStr">
        <is>
          <t>Herramientas del secretario: puede escribir los registros que solo admiten añadir pero no puede verificarlos</t>
        </is>
      </c>
      <c r="D21" s="4" t="inlineStr">
        <is>
          <t>Constructores</t>
        </is>
      </c>
      <c r="E21" s="34" t="inlineStr">
        <is>
          <t>MOTOR</t>
        </is>
      </c>
      <c r="F21" s="5" t="inlineStr">
        <is>
          <t>Pendiente</t>
        </is>
      </c>
      <c r="G21" s="5" t="inlineStr"/>
      <c r="H21" s="5" t="inlineStr"/>
      <c r="I21" s="4" t="inlineStr">
        <is>
          <t>nada: se puede empezar ya</t>
        </is>
      </c>
    </row>
    <row r="22">
      <c r="A22" s="5" t="n">
        <v>13</v>
      </c>
      <c r="B22" s="33" t="inlineStr">
        <is>
          <t>03.01.17</t>
        </is>
      </c>
      <c r="C22" s="4" t="inlineStr">
        <is>
          <t>Reparar la prueba 7 de verificar_excel.py (entregables de las tareas hechas)</t>
        </is>
      </c>
      <c r="D22" s="4" t="inlineStr">
        <is>
          <t>Constructor de motor</t>
        </is>
      </c>
      <c r="E22" s="34" t="inlineStr">
        <is>
          <t>MOTOR</t>
        </is>
      </c>
      <c r="F22" s="5" t="inlineStr">
        <is>
          <t>Pendiente</t>
        </is>
      </c>
      <c r="G22" s="5" t="inlineStr"/>
      <c r="H22" s="5" t="inlineStr"/>
      <c r="I22" s="4" t="inlineStr">
        <is>
          <t>nada: se puede empezar ya</t>
        </is>
      </c>
    </row>
    <row r="23">
      <c r="A23" s="5" t="n">
        <v>14</v>
      </c>
      <c r="B23" s="33" t="inlineStr">
        <is>
          <t>03.01.18</t>
        </is>
      </c>
      <c r="C23" s="4" t="inlineStr">
        <is>
          <t>NUEVA 03/08 (D-20, idea 1 de las auditorías): contador mecánico del reparto producto/motor, inyectado en el contexto al arrancar cada tirada</t>
        </is>
      </c>
      <c r="D23" s="4" t="inlineStr">
        <is>
          <t>Constructores</t>
        </is>
      </c>
      <c r="E23" s="34" t="inlineStr">
        <is>
          <t>MOTOR</t>
        </is>
      </c>
      <c r="F23" s="5" t="inlineStr">
        <is>
          <t>Pendiente</t>
        </is>
      </c>
      <c r="G23" s="5" t="inlineStr"/>
      <c r="H23" s="5" t="inlineStr"/>
      <c r="I23" s="4" t="inlineStr">
        <is>
          <t>nada: se puede empezar ya</t>
        </is>
      </c>
    </row>
    <row r="24">
      <c r="A24" s="5" t="n">
        <v>15</v>
      </c>
      <c r="B24" s="33" t="inlineStr">
        <is>
          <t>03.01.19</t>
        </is>
      </c>
      <c r="C24" s="4" t="inlineStr">
        <is>
          <t>NUEVA 03/08 (D-20, idea 2 de las auditorías): registro mecánico de autoría, para que «nadie valida su propio trabajo» deje de ser solo prosa</t>
        </is>
      </c>
      <c r="D24" s="4" t="inlineStr">
        <is>
          <t>Constructores</t>
        </is>
      </c>
      <c r="E24" s="34" t="inlineStr">
        <is>
          <t>MOTOR</t>
        </is>
      </c>
      <c r="F24" s="5" t="inlineStr">
        <is>
          <t>Pendiente</t>
        </is>
      </c>
      <c r="G24" s="5" t="inlineStr"/>
      <c r="H24" s="5" t="inlineStr"/>
      <c r="I24" s="4" t="inlineStr">
        <is>
          <t>nada: se puede empezar ya</t>
        </is>
      </c>
    </row>
    <row r="25">
      <c r="A25" s="5" t="n">
        <v>16</v>
      </c>
      <c r="B25" s="33" t="inlineStr">
        <is>
          <t>07.01.01</t>
        </is>
      </c>
      <c r="C25" s="4" t="inlineStr">
        <is>
          <t>Carpetas y documentos en orden; una fuente de verdad por tema; lo sustituido se borra</t>
        </is>
      </c>
      <c r="D25" s="4" t="inlineStr">
        <is>
          <t>Constructores</t>
        </is>
      </c>
      <c r="E25" s="34" t="inlineStr">
        <is>
          <t>MOTOR</t>
        </is>
      </c>
      <c r="F25" s="5" t="inlineStr">
        <is>
          <t>Pendiente</t>
        </is>
      </c>
      <c r="G25" s="5" t="inlineStr"/>
      <c r="H25" s="5" t="inlineStr"/>
      <c r="I25" s="4" t="inlineStr">
        <is>
          <t>nada: se puede empezar ya</t>
        </is>
      </c>
    </row>
    <row r="26">
      <c r="A26" s="5" t="n">
        <v>17</v>
      </c>
      <c r="B26" s="33" t="inlineStr">
        <is>
          <t>07.01.02</t>
        </is>
      </c>
      <c r="C26" s="4" t="inlineStr">
        <is>
          <t>Mejoras del motor: SOLO tareas aprobadas en revisión semanal (el motor no manda)</t>
        </is>
      </c>
      <c r="D26" s="4" t="inlineStr">
        <is>
          <t>Constructores</t>
        </is>
      </c>
      <c r="E26" s="34" t="inlineStr">
        <is>
          <t>MOTOR</t>
        </is>
      </c>
      <c r="F26" s="5" t="inlineStr">
        <is>
          <t>Pendiente</t>
        </is>
      </c>
      <c r="G26" s="5" t="inlineStr"/>
      <c r="H26" s="5" t="inlineStr"/>
      <c r="I26" s="4" t="inlineStr">
        <is>
          <t>nada: se puede empezar ya</t>
        </is>
      </c>
    </row>
    <row r="27">
      <c r="A27" s="32" t="inlineStr">
        <is>
          <t>ESPERANDO A OTRA TAREA — 22 tareas, en orden de codigo WBS</t>
        </is>
      </c>
      <c r="B27" s="32" t="n"/>
      <c r="C27" s="32" t="n"/>
      <c r="D27" s="32" t="n"/>
      <c r="E27" s="32" t="n"/>
      <c r="F27" s="32" t="n"/>
      <c r="G27" s="32" t="n"/>
      <c r="H27" s="32" t="n"/>
      <c r="I27" s="32" t="n"/>
    </row>
    <row r="28">
      <c r="A28" s="5" t="inlineStr">
        <is>
          <t>—</t>
        </is>
      </c>
      <c r="B28" s="33" t="inlineStr">
        <is>
          <t>03.01.05</t>
        </is>
      </c>
      <c r="C28" s="4" t="inlineStr">
        <is>
          <t>PRUEBA REAL DEL MOTOR: un día entero de trabajo desatendido de verdad antes de dar la fase por buena</t>
        </is>
      </c>
      <c r="D28" s="4" t="inlineStr">
        <is>
          <t>Orquestador</t>
        </is>
      </c>
      <c r="E28" s="34" t="inlineStr">
        <is>
          <t>MOTOR</t>
        </is>
      </c>
      <c r="F28" s="5" t="inlineStr">
        <is>
          <t>Pendiente</t>
        </is>
      </c>
      <c r="G28" s="5" t="inlineStr"/>
      <c r="H28" s="5" t="inlineStr"/>
      <c r="I28" s="4" t="inlineStr">
        <is>
          <t>03.01.03 (pendiente, Constructores), 03.01.04 (pendiente, Constructores)</t>
        </is>
      </c>
    </row>
    <row r="29">
      <c r="A29" s="5" t="inlineStr">
        <is>
          <t>—</t>
        </is>
      </c>
      <c r="B29" s="33" t="inlineStr">
        <is>
          <t>03.01.07</t>
        </is>
      </c>
      <c r="C29" s="4" t="inlineStr">
        <is>
          <t>Cola de aprobación del CEO: tabla con desplegable Aprobado / Saltar / Corregir y columna de corrección. Lo aprobado se ejecuta solo; lo corregido se rehace Y la corrección se guarda en LECCIONES.md</t>
        </is>
      </c>
      <c r="D29" s="4" t="inlineStr">
        <is>
          <t>Secretario</t>
        </is>
      </c>
      <c r="E29" s="34" t="inlineStr">
        <is>
          <t>MOTOR</t>
        </is>
      </c>
      <c r="F29" s="5" t="inlineStr">
        <is>
          <t>Pendiente</t>
        </is>
      </c>
      <c r="G29" s="5" t="inlineStr"/>
      <c r="H29" s="5" t="inlineStr"/>
      <c r="I29" s="4" t="inlineStr">
        <is>
          <t>03.01.06 (pendiente, Secretario)</t>
        </is>
      </c>
    </row>
    <row r="30">
      <c r="A30" s="5" t="inlineStr">
        <is>
          <t>—</t>
        </is>
      </c>
      <c r="B30" s="33" t="inlineStr">
        <is>
          <t>03.01.11</t>
        </is>
      </c>
      <c r="C30" s="4" t="inlineStr">
        <is>
          <t>NUEVA 31/07 (D-10): guardia del cajon reservado por cifrado. Script cajon_reservado.py: la contraseña solo la tiene el CEO, no se guarda, se pide en cada operacion y nada se descifra a disco</t>
        </is>
      </c>
      <c r="D30" s="4" t="inlineStr">
        <is>
          <t>Constructores</t>
        </is>
      </c>
      <c r="E30" s="34" t="inlineStr">
        <is>
          <t>MOTOR</t>
        </is>
      </c>
      <c r="F30" s="14" t="inlineStr">
        <is>
          <t>En curso</t>
        </is>
      </c>
      <c r="G30" s="5" t="inlineStr"/>
      <c r="H30" s="5" t="inlineStr"/>
      <c r="I30" s="4" t="inlineStr">
        <is>
          <t>03.01.08 (en curso, Crítico)</t>
        </is>
      </c>
    </row>
    <row r="31">
      <c r="A31" s="5" t="inlineStr">
        <is>
          <t>—</t>
        </is>
      </c>
      <c r="B31" s="33" t="inlineStr">
        <is>
          <t>03.01.16</t>
        </is>
      </c>
      <c r="C31" s="4" t="inlineStr">
        <is>
          <t>Las hojas del Excel se construyen de sus fuentes primarias, no de copias</t>
        </is>
      </c>
      <c r="D31" s="4" t="inlineStr">
        <is>
          <t>Constructores</t>
        </is>
      </c>
      <c r="E31" s="34" t="inlineStr">
        <is>
          <t>MOTOR</t>
        </is>
      </c>
      <c r="F31" s="5" t="inlineStr">
        <is>
          <t>Pendiente</t>
        </is>
      </c>
      <c r="G31" s="5" t="inlineStr"/>
      <c r="H31" s="5" t="inlineStr"/>
      <c r="I31" s="4" t="inlineStr">
        <is>
          <t>03.01.14 (pendiente, Constructores)</t>
        </is>
      </c>
    </row>
    <row r="32">
      <c r="A32" s="5" t="inlineStr">
        <is>
          <t>—</t>
        </is>
      </c>
      <c r="B32" s="33" t="inlineStr">
        <is>
          <t>04.01.02</t>
        </is>
      </c>
      <c r="C32" s="4" t="inlineStr">
        <is>
          <t>Recalcular costes con precios reales del broker (sustituye 02.01.02)</t>
        </is>
      </c>
      <c r="D32" s="4" t="inlineStr">
        <is>
          <t>Constructor datos</t>
        </is>
      </c>
      <c r="E32" s="5" t="inlineStr">
        <is>
          <t>PRODUCTO</t>
        </is>
      </c>
      <c r="F32" s="5" t="inlineStr">
        <is>
          <t>Pendiente</t>
        </is>
      </c>
      <c r="G32" s="5" t="inlineStr"/>
      <c r="H32" s="5" t="inlineStr"/>
      <c r="I32" s="4" t="inlineStr">
        <is>
          <t>04.01.01 (pendiente, CEO + Orquestador)</t>
        </is>
      </c>
    </row>
    <row r="33">
      <c r="A33" s="5" t="inlineStr">
        <is>
          <t>—</t>
        </is>
      </c>
      <c r="B33" s="33" t="inlineStr">
        <is>
          <t>04.01.03</t>
        </is>
      </c>
      <c r="C33" s="4" t="inlineStr">
        <is>
          <t>Histórico limpio partido en 3 cajones: construir (train), ajustar (validación) y RESERVADO bajo llave (OOS, se abre una sola vez por variante). Ningún agente toca el reservado</t>
        </is>
      </c>
      <c r="D33" s="4" t="inlineStr">
        <is>
          <t>Constructor datos</t>
        </is>
      </c>
      <c r="E33" s="5" t="inlineStr">
        <is>
          <t>PRODUCTO</t>
        </is>
      </c>
      <c r="F33" s="5" t="inlineStr">
        <is>
          <t>Pendiente</t>
        </is>
      </c>
      <c r="G33" s="5" t="n">
        <v>1</v>
      </c>
      <c r="H33" s="5" t="n">
        <v>13</v>
      </c>
      <c r="I33" s="4" t="inlineStr">
        <is>
          <t>04.01.01 (pendiente, CEO + Orquestador)</t>
        </is>
      </c>
    </row>
    <row r="34">
      <c r="A34" s="5" t="inlineStr">
        <is>
          <t>—</t>
        </is>
      </c>
      <c r="B34" s="33" t="inlineStr">
        <is>
          <t>04.02.02</t>
        </is>
      </c>
      <c r="C34" s="4" t="inlineStr">
        <is>
          <t>Ficha por hipótesis: por qué existiría la ventaja, reglas de entrada/salida, mercado y vela. Sin lógica de por qué gana, no entra (nada de probar por probar)</t>
        </is>
      </c>
      <c r="D34" s="4" t="inlineStr">
        <is>
          <t>Investigador</t>
        </is>
      </c>
      <c r="E34" s="5" t="inlineStr">
        <is>
          <t>PRODUCTO</t>
        </is>
      </c>
      <c r="F34" s="5" t="inlineStr">
        <is>
          <t>Pendiente</t>
        </is>
      </c>
      <c r="G34" s="5" t="n">
        <v>1</v>
      </c>
      <c r="H34" s="5" t="n">
        <v>15</v>
      </c>
      <c r="I34" s="4" t="inlineStr">
        <is>
          <t>04.02.01 (pendiente, Investigador)</t>
        </is>
      </c>
    </row>
    <row r="35">
      <c r="A35" s="5" t="inlineStr">
        <is>
          <t>—</t>
        </is>
      </c>
      <c r="B35" s="33" t="inlineStr">
        <is>
          <t>04.02.03</t>
        </is>
      </c>
      <c r="C35" s="4" t="inlineStr">
        <is>
          <t>Filtro de sentido: el Validador puntúa y se eligen las 3-5 mejores</t>
        </is>
      </c>
      <c r="D35" s="4" t="inlineStr">
        <is>
          <t>Validador</t>
        </is>
      </c>
      <c r="E35" s="5" t="inlineStr">
        <is>
          <t>PRODUCTO</t>
        </is>
      </c>
      <c r="F35" s="5" t="inlineStr">
        <is>
          <t>Pendiente</t>
        </is>
      </c>
      <c r="G35" s="5" t="n">
        <v>1</v>
      </c>
      <c r="H35" s="5" t="n">
        <v>14</v>
      </c>
      <c r="I35" s="4" t="inlineStr">
        <is>
          <t>04.02.02 (pendiente, Investigador)</t>
        </is>
      </c>
    </row>
    <row r="36">
      <c r="A36" s="5" t="inlineStr">
        <is>
          <t>—</t>
        </is>
      </c>
      <c r="B36" s="33" t="inlineStr">
        <is>
          <t>04.02.04</t>
        </is>
      </c>
      <c r="C36" s="4" t="inlineStr">
        <is>
          <t>Pre-registro de variantes: cada hipótesis deja escritas sus variantes ANTES de probar (máx. 5-7 por hipótesis). Lo no registrado no se prueba</t>
        </is>
      </c>
      <c r="D36" s="4" t="inlineStr">
        <is>
          <t>Validador</t>
        </is>
      </c>
      <c r="E36" s="5" t="inlineStr">
        <is>
          <t>PRODUCTO</t>
        </is>
      </c>
      <c r="F36" s="5" t="inlineStr">
        <is>
          <t>Pendiente</t>
        </is>
      </c>
      <c r="G36" s="5" t="n">
        <v>1</v>
      </c>
      <c r="H36" s="5" t="n">
        <v>13</v>
      </c>
      <c r="I36" s="4" t="inlineStr">
        <is>
          <t>04.02.03 (pendiente, Validador)</t>
        </is>
      </c>
    </row>
    <row r="37">
      <c r="A37" s="5" t="inlineStr">
        <is>
          <t>—</t>
        </is>
      </c>
      <c r="B37" s="33" t="inlineStr">
        <is>
          <t>04.03.01</t>
        </is>
      </c>
      <c r="C37" s="4" t="inlineStr">
        <is>
          <t>Backtest con costes reales sobre el cajón de construir</t>
        </is>
      </c>
      <c r="D37" s="4" t="inlineStr">
        <is>
          <t>Constructores</t>
        </is>
      </c>
      <c r="E37" s="5" t="inlineStr">
        <is>
          <t>PRODUCTO</t>
        </is>
      </c>
      <c r="F37" s="5" t="inlineStr">
        <is>
          <t>Pendiente</t>
        </is>
      </c>
      <c r="G37" s="5" t="n">
        <v>1</v>
      </c>
      <c r="H37" s="5" t="n">
        <v>12</v>
      </c>
      <c r="I37" s="4" t="inlineStr">
        <is>
          <t>04.01.03 (pendiente, Constructor datos), 04.02.04 (pendiente, Validador)</t>
        </is>
      </c>
    </row>
    <row r="38">
      <c r="A38" s="5" t="inlineStr">
        <is>
          <t>—</t>
        </is>
      </c>
      <c r="B38" s="33" t="inlineStr">
        <is>
          <t>04.03.02</t>
        </is>
      </c>
      <c r="C38" s="4" t="inlineStr">
        <is>
          <t>Ajuste SOLO con el cajón de validación; lo que no aguanta, muere aquí</t>
        </is>
      </c>
      <c r="D38" s="4" t="inlineStr">
        <is>
          <t>Constructores</t>
        </is>
      </c>
      <c r="E38" s="5" t="inlineStr">
        <is>
          <t>PRODUCTO</t>
        </is>
      </c>
      <c r="F38" s="5" t="inlineStr">
        <is>
          <t>Pendiente</t>
        </is>
      </c>
      <c r="G38" s="5" t="n">
        <v>1</v>
      </c>
      <c r="H38" s="5" t="n">
        <v>11</v>
      </c>
      <c r="I38" s="4" t="inlineStr">
        <is>
          <t>04.03.01 (pendiente, Constructores)</t>
        </is>
      </c>
    </row>
    <row r="39">
      <c r="A39" s="5" t="inlineStr">
        <is>
          <t>—</t>
        </is>
      </c>
      <c r="B39" s="33" t="inlineStr">
        <is>
          <t>04.03.03</t>
        </is>
      </c>
      <c r="C39" s="4" t="inlineStr">
        <is>
          <t>Prueba de fuego: UNA sola pasada por variante sobre el cajón reservado (OOS). Repetir sería hacerse trampa</t>
        </is>
      </c>
      <c r="D39" s="4" t="inlineStr">
        <is>
          <t>Validador</t>
        </is>
      </c>
      <c r="E39" s="5" t="inlineStr">
        <is>
          <t>PRODUCTO</t>
        </is>
      </c>
      <c r="F39" s="5" t="inlineStr">
        <is>
          <t>Pendiente</t>
        </is>
      </c>
      <c r="G39" s="5" t="n">
        <v>1</v>
      </c>
      <c r="H39" s="5" t="n">
        <v>10</v>
      </c>
      <c r="I39" s="4" t="inlineStr">
        <is>
          <t>04.03.02 (pendiente, Constructores)</t>
        </is>
      </c>
    </row>
    <row r="40">
      <c r="A40" s="5" t="inlineStr">
        <is>
          <t>—</t>
        </is>
      </c>
      <c r="B40" s="33" t="inlineStr">
        <is>
          <t>04.03.04</t>
        </is>
      </c>
      <c r="C40" s="4" t="inlineStr">
        <is>
          <t>Robustez: Monte Carlo (barajar el orden de operaciones y meter pequeños cambios miles de veces: ¿aguanta o era suerte?) + walk-forward (repetir el ajuste avanzando en el tiempo)</t>
        </is>
      </c>
      <c r="D40" s="4" t="inlineStr">
        <is>
          <t>Validador</t>
        </is>
      </c>
      <c r="E40" s="5" t="inlineStr">
        <is>
          <t>PRODUCTO</t>
        </is>
      </c>
      <c r="F40" s="5" t="inlineStr">
        <is>
          <t>Pendiente</t>
        </is>
      </c>
      <c r="G40" s="5" t="n">
        <v>1</v>
      </c>
      <c r="H40" s="5" t="n">
        <v>9</v>
      </c>
      <c r="I40" s="4" t="inlineStr">
        <is>
          <t>04.03.03 (pendiente, Validador)</t>
        </is>
      </c>
    </row>
    <row r="41">
      <c r="A41" s="5" t="inlineStr">
        <is>
          <t>—</t>
        </is>
      </c>
      <c r="B41" s="33" t="inlineStr">
        <is>
          <t>04.03.05</t>
        </is>
      </c>
      <c r="C41" s="4" t="inlineStr">
        <is>
          <t>Veredicto pasa/no pasa por variante, con los criterios de G2. Quien construyó no vota</t>
        </is>
      </c>
      <c r="D41" s="4" t="inlineStr">
        <is>
          <t>Validador</t>
        </is>
      </c>
      <c r="E41" s="5" t="inlineStr">
        <is>
          <t>PRODUCTO</t>
        </is>
      </c>
      <c r="F41" s="5" t="inlineStr">
        <is>
          <t>Pendiente</t>
        </is>
      </c>
      <c r="G41" s="5" t="n">
        <v>1</v>
      </c>
      <c r="H41" s="5" t="n">
        <v>8</v>
      </c>
      <c r="I41" s="4" t="inlineStr">
        <is>
          <t>04.03.04 (pendiente, Validador)</t>
        </is>
      </c>
    </row>
    <row r="42">
      <c r="A42" s="5" t="inlineStr">
        <is>
          <t>—</t>
        </is>
      </c>
      <c r="B42" s="33" t="inlineStr">
        <is>
          <t>04.04.01</t>
        </is>
      </c>
      <c r="C42" s="4" t="inlineStr">
        <is>
          <t>Informe de la vuelta: qué pasó, qué murió y por qué. Registro de TODAS las pruebas, también fallidas</t>
        </is>
      </c>
      <c r="D42" s="4" t="inlineStr">
        <is>
          <t>Secretario</t>
        </is>
      </c>
      <c r="E42" s="5" t="inlineStr">
        <is>
          <t>PRODUCTO</t>
        </is>
      </c>
      <c r="F42" s="5" t="inlineStr">
        <is>
          <t>Pendiente</t>
        </is>
      </c>
      <c r="G42" s="5" t="n">
        <v>2</v>
      </c>
      <c r="H42" s="5" t="n">
        <v>7</v>
      </c>
      <c r="I42" s="4" t="inlineStr">
        <is>
          <t>04.03.05 (pendiente, Validador)</t>
        </is>
      </c>
    </row>
    <row r="43">
      <c r="A43" s="5" t="inlineStr">
        <is>
          <t>—</t>
        </is>
      </c>
      <c r="B43" s="33" t="inlineStr">
        <is>
          <t>04.04.02</t>
        </is>
      </c>
      <c r="C43" s="4" t="inlineStr">
        <is>
          <t>Si ninguna pasa: volver a 04.02 con lecciones (vuelta 2, 3…). Tras la 3ª vuelta sin éxito: revisión completa del planteamiento con el CEO</t>
        </is>
      </c>
      <c r="D43" s="4" t="inlineStr">
        <is>
          <t>Orquestador</t>
        </is>
      </c>
      <c r="E43" s="5" t="inlineStr">
        <is>
          <t>PRODUCTO</t>
        </is>
      </c>
      <c r="F43" s="5" t="inlineStr">
        <is>
          <t>Pendiente</t>
        </is>
      </c>
      <c r="G43" s="5" t="inlineStr"/>
      <c r="H43" s="5" t="inlineStr"/>
      <c r="I43" s="4" t="inlineStr">
        <is>
          <t>04.04.01 (pendiente, Secretario)</t>
        </is>
      </c>
    </row>
    <row r="44">
      <c r="A44" s="5" t="inlineStr">
        <is>
          <t>—</t>
        </is>
      </c>
      <c r="B44" s="33" t="inlineStr">
        <is>
          <t>04.04.03</t>
        </is>
      </c>
      <c r="C44" s="4" t="inlineStr">
        <is>
          <t>PUERTA G2: el CEO decide qué pasa a demo</t>
        </is>
      </c>
      <c r="D44" s="28" t="inlineStr">
        <is>
          <t>CEO</t>
        </is>
      </c>
      <c r="E44" s="5" t="inlineStr">
        <is>
          <t>PRODUCTO</t>
        </is>
      </c>
      <c r="F44" s="5" t="inlineStr">
        <is>
          <t>Pendiente</t>
        </is>
      </c>
      <c r="G44" s="5" t="n">
        <v>1</v>
      </c>
      <c r="H44" s="5" t="n">
        <v>5</v>
      </c>
      <c r="I44" s="4" t="inlineStr">
        <is>
          <t>04.04.01 (pendiente, Secretario)</t>
        </is>
      </c>
    </row>
    <row r="45">
      <c r="A45" s="5" t="inlineStr">
        <is>
          <t>—</t>
        </is>
      </c>
      <c r="B45" s="33" t="inlineStr">
        <is>
          <t>05.01.01</t>
        </is>
      </c>
      <c r="C45" s="4" t="inlineStr">
        <is>
          <t>Bot en demo, solo y con guardias automáticos</t>
        </is>
      </c>
      <c r="D45" s="4" t="inlineStr">
        <is>
          <t>Constructores</t>
        </is>
      </c>
      <c r="E45" s="5" t="inlineStr">
        <is>
          <t>PRODUCTO</t>
        </is>
      </c>
      <c r="F45" s="5" t="inlineStr">
        <is>
          <t>Pendiente</t>
        </is>
      </c>
      <c r="G45" s="5" t="n">
        <v>1</v>
      </c>
      <c r="H45" s="5" t="n">
        <v>4</v>
      </c>
      <c r="I45" s="4" t="inlineStr">
        <is>
          <t>04.04.03 (pendiente, CEO)</t>
        </is>
      </c>
    </row>
    <row r="46">
      <c r="A46" s="5" t="inlineStr">
        <is>
          <t>—</t>
        </is>
      </c>
      <c r="B46" s="33" t="inlineStr">
        <is>
          <t>05.01.02</t>
        </is>
      </c>
      <c r="C46" s="4" t="inlineStr">
        <is>
          <t>Seguimiento semanal real vs. prometido (8-12 semanas)</t>
        </is>
      </c>
      <c r="D46" s="4" t="inlineStr">
        <is>
          <t>Secretario</t>
        </is>
      </c>
      <c r="E46" s="5" t="inlineStr">
        <is>
          <t>PRODUCTO</t>
        </is>
      </c>
      <c r="F46" s="5" t="inlineStr">
        <is>
          <t>Pendiente</t>
        </is>
      </c>
      <c r="G46" s="5" t="n">
        <v>1</v>
      </c>
      <c r="H46" s="5" t="n">
        <v>3</v>
      </c>
      <c r="I46" s="4" t="inlineStr">
        <is>
          <t>05.01.01 (pendiente, Constructores)</t>
        </is>
      </c>
    </row>
    <row r="47">
      <c r="A47" s="5" t="inlineStr">
        <is>
          <t>—</t>
        </is>
      </c>
      <c r="B47" s="33" t="inlineStr">
        <is>
          <t>05.01.03</t>
        </is>
      </c>
      <c r="C47" s="4" t="inlineStr">
        <is>
          <t>PUERTA G3: CEO decide dinero, cuánto y pérdida máxima</t>
        </is>
      </c>
      <c r="D47" s="28" t="inlineStr">
        <is>
          <t>CEO</t>
        </is>
      </c>
      <c r="E47" s="5" t="inlineStr">
        <is>
          <t>PRODUCTO</t>
        </is>
      </c>
      <c r="F47" s="5" t="inlineStr">
        <is>
          <t>Pendiente</t>
        </is>
      </c>
      <c r="G47" s="5" t="n">
        <v>1</v>
      </c>
      <c r="H47" s="5" t="n">
        <v>2</v>
      </c>
      <c r="I47" s="4" t="inlineStr">
        <is>
          <t>05.01.02 (pendiente, Secretario)</t>
        </is>
      </c>
    </row>
    <row r="48">
      <c r="A48" s="5" t="inlineStr">
        <is>
          <t>—</t>
        </is>
      </c>
      <c r="B48" s="33" t="inlineStr">
        <is>
          <t>06.01.01</t>
        </is>
      </c>
      <c r="C48" s="4" t="inlineStr">
        <is>
          <t>Dinero pequeño respetando los límites de 01.01.03</t>
        </is>
      </c>
      <c r="D48" s="4" t="inlineStr">
        <is>
          <t>Constructores</t>
        </is>
      </c>
      <c r="E48" s="5" t="inlineStr">
        <is>
          <t>PRODUCTO</t>
        </is>
      </c>
      <c r="F48" s="5" t="inlineStr">
        <is>
          <t>Pendiente</t>
        </is>
      </c>
      <c r="G48" s="5" t="n">
        <v>1</v>
      </c>
      <c r="H48" s="5" t="n">
        <v>1</v>
      </c>
      <c r="I48" s="4" t="inlineStr">
        <is>
          <t>05.01.03 (pendiente, CEO)</t>
        </is>
      </c>
    </row>
    <row r="49">
      <c r="A49" s="5" t="inlineStr">
        <is>
          <t>—</t>
        </is>
      </c>
      <c r="B49" s="33" t="inlineStr">
        <is>
          <t>06.01.02</t>
        </is>
      </c>
      <c r="C49" s="4" t="inlineStr">
        <is>
          <t>PUERTA G4 mensual: seguir, ampliar o parar. Si pierde más de lo escrito, se para sin discusión</t>
        </is>
      </c>
      <c r="D49" s="28" t="inlineStr">
        <is>
          <t>CEO</t>
        </is>
      </c>
      <c r="E49" s="5" t="inlineStr">
        <is>
          <t>PRODUCTO</t>
        </is>
      </c>
      <c r="F49" s="5" t="inlineStr">
        <is>
          <t>Pendiente</t>
        </is>
      </c>
      <c r="G49" s="5" t="inlineStr"/>
      <c r="H49" s="5" t="inlineStr"/>
      <c r="I49" s="4" t="inlineStr">
        <is>
          <t>06.01.01 (pendiente, Constructores)</t>
        </is>
      </c>
    </row>
    <row r="51" ht="46" customHeight="1">
      <c r="A51" s="35" t="inlineStr">
        <is>
          <t>Aviso de la regla 8 (CLAUDE.md): si la cola de arriba solo tuviera tareas de MOTOR, hay que parar y avisar al CEO; significa que la cola esta mal llena. Ahora mismo la cola tiene 2 de producto y 15 de motor.</t>
        </is>
      </c>
    </row>
  </sheetData>
  <mergeCells count="11">
    <mergeCell ref="A4:B4"/>
    <mergeCell ref="C6:H6"/>
    <mergeCell ref="A2:I2"/>
    <mergeCell ref="A51:I51"/>
    <mergeCell ref="C5:H5"/>
    <mergeCell ref="A5:B5"/>
    <mergeCell ref="A1:I1"/>
    <mergeCell ref="A9:I9"/>
    <mergeCell ref="A27:I27"/>
    <mergeCell ref="C4:H4"/>
    <mergeCell ref="A6:B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9" customWidth="1" min="3" max="3"/>
    <col width="16" customWidth="1" min="4" max="4"/>
    <col width="12" customWidth="1" min="5" max="5"/>
    <col width="56" customWidth="1" min="6" max="6"/>
    <col width="50" customWidth="1" min="7" max="7"/>
  </cols>
  <sheetData>
    <row r="1" ht="24" customHeight="1">
      <c r="A1" s="1" t="inlineStr">
        <is>
          <t>TODAS LAS TAREAS — WBS v0.9 · generado de 00-direccion/WBS.md</t>
        </is>
      </c>
      <c r="B1" s="2" t="n"/>
      <c r="C1" s="2" t="n"/>
      <c r="D1" s="2" t="n"/>
      <c r="E1" s="2" t="n"/>
      <c r="F1" s="2" t="n"/>
      <c r="G1" s="2" t="n"/>
    </row>
    <row r="2">
      <c r="A2" s="21" t="inlineStr">
        <is>
          <t>Una fila por tarea. Filtra por ESTADO con la flecha de la cabecera. Verde = hecha · amarillo = en curso · rojo = bloqueada. Las tareas del CEO llevan la columna RESPONSABLE en naranja. Los textos largos se cortan y se apunta al WBS: esto es la vista, no la fuente.</t>
        </is>
      </c>
      <c r="B2" s="22" t="n"/>
      <c r="C2" s="22" t="n"/>
      <c r="D2" s="22" t="n"/>
      <c r="E2" s="22" t="n"/>
      <c r="F2" s="22" t="n"/>
      <c r="G2" s="22" t="n"/>
    </row>
    <row r="4" ht="28" customHeight="1">
      <c r="A4" s="3" t="inlineStr">
        <is>
          <t>CODIGO</t>
        </is>
      </c>
      <c r="B4" s="3" t="inlineStr">
        <is>
          <t>QUE SE HACE</t>
        </is>
      </c>
      <c r="C4" s="3" t="inlineStr">
        <is>
          <t>RESPONSABLE</t>
        </is>
      </c>
      <c r="D4" s="3" t="inlineStr">
        <is>
          <t>DEPENDE DE</t>
        </is>
      </c>
      <c r="E4" s="3" t="inlineStr">
        <is>
          <t>ESTADO</t>
        </is>
      </c>
      <c r="F4" s="3" t="inlineStr">
        <is>
          <t>RESULTADO / DONDE ESTA</t>
        </is>
      </c>
      <c r="G4" s="3" t="inlineStr">
        <is>
          <t>FICHA (LO QUE SE ENCARGO)</t>
        </is>
      </c>
    </row>
    <row r="5" ht="20" customHeight="1">
      <c r="A5" s="36" t="inlineStr">
        <is>
          <t>01</t>
        </is>
      </c>
      <c r="B5" s="37" t="inlineStr">
        <is>
          <t>ARRANQUE (PUERTA G0)</t>
        </is>
      </c>
      <c r="C5" s="37" t="n"/>
      <c r="D5" s="37" t="n"/>
      <c r="E5" s="37" t="n"/>
      <c r="F5" s="37" t="n"/>
      <c r="G5" s="37" t="n"/>
    </row>
    <row r="6">
      <c r="A6" s="13" t="inlineStr">
        <is>
          <t>01.01.01</t>
        </is>
      </c>
      <c r="B6" s="4" t="inlineStr">
        <is>
          <t>Aprobar plan y reglas</t>
        </is>
      </c>
      <c r="C6" s="28" t="inlineStr">
        <is>
          <t>CEO</t>
        </is>
      </c>
      <c r="D6" s="4" t="inlineStr">
        <is>
          <t>—</t>
        </is>
      </c>
      <c r="E6" s="4" t="inlineStr">
        <is>
          <t>Hecha</t>
        </is>
      </c>
      <c r="F6" s="4" t="inlineStr">
        <is>
          <t>** 03/08 — FICHA (incumplimiento de regla 5 de CLAUDE.md declarado: se trabajó sin ficha previa): aprobación del WBS v0.7 (29/07/2026), que antecede a CLAUDE.md. El 01/08/2026 se aprobaron las decisiones D-1 a D-16, que ratificaban el WBS vigente más CLAUDE.md. El 03/08/2026 se aprobó D-17, que suspende la regla 8 de CLAUDE.md hasta que 03.01.05 esté hecha o llegue el 01/09/2026, lo que ocurra primero. CRITERIO DE HECHO: aprobación declarada en las decisiones del 01/08 (D-1 a D-16) y la del 03/08 (D-17) en 00-direccion/DECISIONES.md. RESUELTO: lo que el CEO aprobó el 29/07 (WBS v0.7 anterior a CLAUDE.md) se ratifica ahora por D-1 a D-16, que fijan la lista completa de valores, límites y […] texto completo en 00-direccion/WBS.md</t>
        </is>
      </c>
      <c r="G6" s="4" t="inlineStr"/>
    </row>
    <row r="7">
      <c r="A7" s="13" t="inlineStr">
        <is>
          <t>01.01.02</t>
        </is>
      </c>
      <c r="B7" s="4" t="inlineStr">
        <is>
          <t>Aprobar criterios de la puerta G1</t>
        </is>
      </c>
      <c r="C7" s="28" t="inlineStr">
        <is>
          <t>CEO</t>
        </is>
      </c>
      <c r="D7" s="4" t="inlineStr">
        <is>
          <t>01.01.01</t>
        </is>
      </c>
      <c r="E7" s="4" t="inlineStr">
        <is>
          <t>Hecha</t>
        </is>
      </c>
      <c r="F7" s="4" t="inlineStr">
        <is>
          <t>** 01/08 — opción A de la ficha: los 7 criterios G1-C1..G1-C7 aprobados (D-11). Recorrido: constructor-datos, investigador, crítico-código, validador. Propuesta inicial corregida en cuatro puntos por crítico y validador. FICHAS DE APOYO (localizadas en 07.01.01(c), 02/08): 01-investigacion/mercados/evidencia_umbrales_g1.md (investigador, evidencia externa; se autodeclara «Apoya a: 01.01.02») y 04-resultados/veredictos/veredicto_criterios_g1.md (validador, contraataque a la propuesta C1-C7; título propio «tarea 01.01.02»).</t>
        </is>
      </c>
      <c r="G7" s="4" t="inlineStr"/>
    </row>
    <row r="8">
      <c r="A8" s="13" t="inlineStr">
        <is>
          <t>01.01.03</t>
        </is>
      </c>
      <c r="B8" s="4" t="inlineStr">
        <is>
          <t>Fijar límites: fecha tope, horas CEO/semana, pérdida máxima futura</t>
        </is>
      </c>
      <c r="C8" s="28" t="inlineStr">
        <is>
          <t>CEO</t>
        </is>
      </c>
      <c r="D8" s="4" t="inlineStr">
        <is>
          <t>01.01.01</t>
        </is>
      </c>
      <c r="E8" s="4" t="inlineStr">
        <is>
          <t>Hecha</t>
        </is>
      </c>
      <c r="F8" s="4" t="inlineStr">
        <is>
          <t>01/08 — los tres limites firmados como D-12, D-13 y D-14** y escritos en la seccion «Limites del CEO» de este WBS. (1) FECHA TOPE 01/12/2026 + revision de avance el dia 1 de cada mes con poder de parar; GM gana una cuarta salida (parar). (2) 1 h los lunes como MINIMO garantizado, no techo, con tope de 5 fichas por revision. (3) DINERO REAL: aviso a -25% que no para nada, parada dura automatica a -30% del capital inicial ingresado, aplicada por el bot de forma continua (regla 26 de CLAUDE.md); genera requisito nuevo en 05.01.01 y 06.01.01. Resuelta la contradiccion que este WBS arrastraba (-25% propuesto frente a tolerancia declarada del 50-60%). No se reabrio el capital: los 1.000-2.000 € […] texto completo en 00-direccion/WBS.md</t>
        </is>
      </c>
      <c r="G8" s="4" t="inlineStr"/>
    </row>
    <row r="9">
      <c r="A9" s="13" t="inlineStr">
        <is>
          <t>01.02.01</t>
        </is>
      </c>
      <c r="B9" s="4" t="inlineStr">
        <is>
          <t>Analizar gb2 como información (no copia)</t>
        </is>
      </c>
      <c r="C9" s="4" t="inlineStr">
        <is>
          <t>Crítico</t>
        </is>
      </c>
      <c r="D9" s="4" t="inlineStr">
        <is>
          <t>01.01.01</t>
        </is>
      </c>
      <c r="E9" s="4" t="inlineStr">
        <is>
          <t>Hecha</t>
        </is>
      </c>
      <c r="F9" s="4" t="inlineStr">
        <is>
          <t>** 30/07 — INFORME_GB2.md. FICHA DE APOYO (localizada en 07.01.01(c), 02/08): 01-investigacion/herencia-gb2/HERENCIA_GB2.md, que se autodeclara en su primera línea «Tarea 01.02.01 cerrada. Fuente: INFORME_GB2.md» y contiene la ficha D6 del trasplante.</t>
        </is>
      </c>
      <c r="G9" s="4" t="inlineStr"/>
    </row>
    <row r="10">
      <c r="A10" s="13" t="inlineStr">
        <is>
          <t>01.02.03</t>
        </is>
      </c>
      <c r="B10" s="4" t="inlineStr">
        <is>
          <t>Auditar el catálogo awesome-claude-code y, por ampliación del CEO (01/08), las fuentes oficiales de Anthropic y los mecanismos nativos de Claude Code; proponer máximo 4 piezas concretas para el motor, con motivo y coste de integración. Carril de motor: cuenta contra el 20% y se limita a 1 tirada</t>
        </is>
      </c>
      <c r="C10" s="4" t="inlineStr">
        <is>
          <t>Investigador</t>
        </is>
      </c>
      <c r="D10" s="4" t="inlineStr">
        <is>
          <t>03.01.02</t>
        </is>
      </c>
      <c r="E10" s="4" t="inlineStr">
        <is>
          <t>Hecha</t>
        </is>
      </c>
      <c r="F10" s="4" t="inlineStr"/>
      <c r="G10" s="4" t="inlineStr">
        <is>
          <t>FICHA (01/08): Aviso de proceso, dicho sin adornos: la ficha se escribe DESPUÉS del barrido, no antes, incumpliendo la regla 5 de CLAUDE.md. Motivo: el CEO pidió la investigación y la ampliación de alcance en la misma orden, en sesión. Queda anotado en vez de disimulado. Alcance ampliado: además del catálogo, fuentes oficiales de Anthropic (anthropics/, documentación de code.claude.com) y mecanismos nativos ya instalados y sin usar (hooks, reglas con ámbito de ruta, worktrees, subagentes […] texto completo en 00-direccion/WBS.md</t>
        </is>
      </c>
    </row>
    <row r="11">
      <c r="A11" s="13" t="inlineStr">
        <is>
          <t>01.02.04</t>
        </is>
      </c>
      <c r="B11" s="4" t="inlineStr">
        <is>
          <t>NUEVA 01/08 (petición del CEO): evaluar si merece la pena añadir servidores MCP al proyecto, con veredicto por servidor y regla de admisión escrita para el futuro. Carril de motor: cuenta contra el 20% y se limita a 1 tirada</t>
        </is>
      </c>
      <c r="C11" s="4" t="inlineStr">
        <is>
          <t>Investigador</t>
        </is>
      </c>
      <c r="D11" s="4" t="inlineStr">
        <is>
          <t>03.01.02</t>
        </is>
      </c>
      <c r="E11" s="4" t="inlineStr">
        <is>
          <t>Hecha</t>
        </is>
      </c>
      <c r="F11" s="4" t="inlineStr"/>
      <c r="G11" s="4" t="inlineStr">
        <is>
          <t>FICHA (01/08): Motivo de la tarea: el CEO pregunta si los MCP salen a cuenta aquí; no estaba medido en el WBS. Alcance: veredicto uno por uno sobre los servidores de referencia oficiales (filesystem, git, memory, sequential-thinking, fetch, time, everything, y sqlite, que está archivado upstream), sobre github, sobre los de datos de mercado (yfinance, TradingView, QuantConnect, ccxt), sobre los de broker (Kraken, Alpaca, IBKR) y sobre los de navegador (Playwright, Chrome DevTools). Filtros […] texto completo en 00-direccion/WBS.md</t>
        </is>
      </c>
    </row>
    <row r="12" ht="20" customHeight="1">
      <c r="A12" s="36" t="inlineStr">
        <is>
          <t>02</t>
        </is>
      </c>
      <c r="B12" s="37" t="inlineStr">
        <is>
          <t>ELEGIR MERCADO Y TAMAÑO DE VELA (PUERTA G1)</t>
        </is>
      </c>
      <c r="C12" s="37" t="n"/>
      <c r="D12" s="37" t="n"/>
      <c r="E12" s="37" t="n"/>
      <c r="F12" s="37" t="n"/>
      <c r="G12" s="37" t="n"/>
    </row>
    <row r="13">
      <c r="A13" s="13" t="inlineStr">
        <is>
          <t>02.01.01</t>
        </is>
      </c>
      <c r="B13" s="4" t="inlineStr">
        <is>
          <t>Confirmar 8 candidatos: EURUSD, GBPUSD, USDJPY, AUDUSD, USDCHF, XAUUSD, BTC, ETH</t>
        </is>
      </c>
      <c r="C13" s="28" t="inlineStr">
        <is>
          <t>CEO + Orquestador</t>
        </is>
      </c>
      <c r="D13" s="4" t="inlineStr">
        <is>
          <t>01.01.02</t>
        </is>
      </c>
      <c r="E13" s="4" t="inlineStr">
        <is>
          <t>Hecha</t>
        </is>
      </c>
      <c r="F13" s="4" t="inlineStr">
        <is>
          <t>03/08 — ratificado por la vía de los hechos: D-19** elige XAUUSD, y elegir un miembro del censo ratifica el censo del que sale. Los 8 se usaron en toda la Fase 02 (ATR, costes, correlaciones, arrastre). No queda ratificación formal pendiente.</t>
        </is>
      </c>
      <c r="G13" s="4" t="inlineStr"/>
    </row>
    <row r="14">
      <c r="A14" s="13" t="inlineStr">
        <is>
          <t>02.01.02</t>
        </is>
      </c>
      <c r="B14" s="4" t="inlineStr">
        <is>
          <t>Costes típicos de operar por mercado (PROVISIONAL hasta 04.01.02)</t>
        </is>
      </c>
      <c r="C14" s="4" t="inlineStr">
        <is>
          <t>Investigador</t>
        </is>
      </c>
      <c r="D14" s="4" t="inlineStr">
        <is>
          <t>02.01.01</t>
        </is>
      </c>
      <c r="E14" s="4" t="inlineStr">
        <is>
          <t>Hecha</t>
        </is>
      </c>
      <c r="F14" s="4" t="inlineStr">
        <is>
          <t>31/07 — coste_operar.md. Tabla final de coste de entrar y salir, 8 instrumentos, ida y vuelta, con tipo de cuenta declarado (raw/ECN vs spread-only, que no son comparables entre si). CORRECCIONES DE L-002 APLICADAS EN LA TABLA y no en nota al pie: USDJPY 1,16 pips (no 0,90) y USDCHF 0,73 pips (no 0,80). VERIFICADO por el orquestador: aritmetica de las 8 filas recalculada (spread + comision = total, cuadran las 6 con comision); las cifras citadas existen en el origen, localizadas por grep. RECORRIDO: primera entrega DEVUELTA por incumplir la regla 13 de CLAUDE.md (seis citas por numero de linea, que se rompen solas al editar el origen); corregida a referencias por seccion y fila de tabla, […] texto completo en 00-direccion/WBS.md</t>
        </is>
      </c>
      <c r="G14" s="4" t="inlineStr">
        <is>
          <t>FICHA (31/07): Alcance: tabla FINAL de coste de entrar y salir (spread + comision) para los 8 instrumentos, en la unidad natural de cada uno, ida y vuelta. Base ya existente: la Entrega 1 del Brief A (entrega_brief_A.md), ACEPTADA por el revisor con fuentes primarias (PDF oficiales de Pepperstone e IC Markets). No se rehace la investigacion: se consolida. Correcciones OBLIGATORIAS, aplicadas EN LA TABLA y no en nota al pie (L-002): USDJPY = 1,16 pips (no 0,90) y USDCHF = 0,73 pips (no 0,80); […] texto completo en 00-direccion/WBS.md</t>
        </is>
      </c>
    </row>
    <row r="15">
      <c r="A15" s="13" t="inlineStr">
        <is>
          <t>02.02.01</t>
        </is>
      </c>
      <c r="B15" s="4" t="inlineStr">
        <is>
          <t>CORREGIDA 29/07: descargar precios y CALCULAR el ATR de 15m, 1h y 4h (no buscarlo publicado: no existe). Script atr_local.py</t>
        </is>
      </c>
      <c r="C15" s="4" t="inlineStr">
        <is>
          <t>Constructor de datos</t>
        </is>
      </c>
      <c r="D15" s="4" t="inlineStr">
        <is>
          <t>02.01.01</t>
        </is>
      </c>
      <c r="E15" s="4" t="inlineStr">
        <is>
          <t>Hecha</t>
        </is>
      </c>
      <c r="F15" s="4" t="inlineStr">
        <is>
          <t>31/07 — precios_mercado.py, atr_15m_1h_4h.json, atr_real_15m_1h_4h.md. Tabla de 8 instrumentos x 3 velas, 24/24 celdas calculadas sobre precios descargados, 0 estimadas, 0 duplicados, 0 velas invalidas. Cordura del oro OK: 3.596,64 USD/oz, en miles. RECORRIDO: entregada, RECHAZADA por critico-codigo (bin incompleto contado como completo, en el filtro de ventana y en el primer bin de 4h de los 8 instrumentos), reparada en ronda 1, re-revisada y ACEPTADA. El critico recalculo el ATR desde los datos brutos con su propio codigo y coincide digito a digito con el script (XAUUSD 1h = 14.464676282400184, n=11824); verifico ademas que el descarte de bins de borde NO se come huecos legitimos (801 […] texto completo en 00-direccion/WBS.md</t>
        </is>
      </c>
      <c r="G15" s="4" t="inlineStr">
        <is>
          <t>FICHA (31/07): Fuente fijada: HistData para EURUSD, GBPUSD, USDJPY, AUDUSD y USDCHF · Dukascopy para XAUUSD al contado (NO el futuro GC=F, ver L-007) · Kraken para BTCUSD y ETHUSD contra dolar real, no contra Tether (L-007). Se jubila Yahoo/yfinance. Alcance: descargar historico suficiente para 2 años completos y calcular ATR(14) en velas de 15m, 1h y 4h para los 8 instrumentos. Corte: 22:00 UTC, unico para todos. Artefacto: un solo script que sirva tambien a 02.02.03 (T2 avisa: en gb2 la […] texto completo en 00-direccion/WBS.md</t>
        </is>
      </c>
    </row>
    <row r="16">
      <c r="A16" s="13" t="inlineStr">
        <is>
          <t>02.02.02</t>
        </is>
      </c>
      <c r="B16" s="4" t="inlineStr">
        <is>
          <t>Coste relativo: coste ÷ movimiento medio, en % (el número clave). Coste de USDJPY corregido a 1,16 pips</t>
        </is>
      </c>
      <c r="C16" s="4" t="inlineStr">
        <is>
          <t>Constructor de datos</t>
        </is>
      </c>
      <c r="D16" s="4" t="inlineStr">
        <is>
          <t>02.01.02, 02.02.01</t>
        </is>
      </c>
      <c r="E16" s="4" t="inlineStr">
        <is>
          <t>Hecha</t>
        </is>
      </c>
      <c r="F16" s="4" t="inlineStr">
        <is>
          <t>31/07 — coste_relativo.py, coste_relativo_15m_1h_4h.json, coste_relativo.md. ES EL CRITERIO 1 DE G1. Coste de ida y vuelta ÷ ATR x 100, 8 instrumentos x 3 velas, en CUATRO escenarios: vela media, mediana, tranquila (p10) y agitada (p90). RECORRIDO: entregada, RECHAZADA por critico-codigo (no por error de calculo —reejecuto el script y salio bit-identico— sino por un sesgo de metodo sin declarar), corregida y ACEPTADA. EL SESGO, hallado por el revisor y reproducido por el orquestador: el ATR medio de XAUUSD esta inflado respecto a su mediana (1,28-1,30) mas que el de ningun otro instrumento (0,985-1,144), porque su pausa diaria de 21:00-22:00 UTC genera un salto de rango UNA VEZ AL DIA […] texto completo en 00-direccion/WBS.md</t>
        </is>
      </c>
      <c r="G16" s="4" t="inlineStr">
        <is>
          <t>FICHA (31/07): Alcance: coste relativo = coste de ida y vuelta ÷ ATR medio de la vela x 100, para los 8 instrumentos x 3 velas (15m, 1h, 4h). Es el criterio 1 de la puerta G1: se exige ≤10-15%. Insumos, ambos ya cerrados y verificados: costes de coste_operar.md (02.01.02) y ATR de 04-resultados/atr_15m_1h_4h.json (02.02.01). No se recalcula ninguno de los dos. TRAMPA PRINCIPAL, declarada de antemano (L-002 y L-004): el JSON guarda el ATR en unidad CRUDA de precio, no en pips. El divisor de pip […] texto completo en 00-direccion/WBS.md</t>
        </is>
      </c>
    </row>
    <row r="17">
      <c r="A17" s="13" t="inlineStr">
        <is>
          <t>02.02.03</t>
        </is>
      </c>
      <c r="B17" s="4" t="inlineStr">
        <is>
          <t>CORREGIDA 30/07: CALCULAR la matriz de correlaciones en 3 ventanas (3 meses, 1 año, 2 años) con hora de corte única (22:00 UTC) y en la vela elegida, no solo diaria. No existe publicada de forma homogénea</t>
        </is>
      </c>
      <c r="C17" s="4" t="inlineStr">
        <is>
          <t>Constructor de datos</t>
        </is>
      </c>
      <c r="D17" s="4" t="inlineStr">
        <is>
          <t>02.01.01</t>
        </is>
      </c>
      <c r="E17" s="4" t="inlineStr">
        <is>
          <t>Hecha</t>
        </is>
      </c>
      <c r="F17" s="4" t="inlineStr">
        <is>
          <t>31/07 — correlaciones_mercado.py, correlaciones_8x8.json, correlaciones_8x8.md. 12 matrices 8x8 (3 ventanas x 4 velas, incluida la diaria) sobre RENDIMIENTOS logaritmicos, corte unico 22:00 UTC. ACEPTADA por critico-codigo sin ronda de reparacion. VERIFICADO POR EJECUCION por el revisor: recalculo 4 celdas con codigo propio y coinciden a 15 decimales; confirmo que correlaciona rendimientos y no precios (XAUUSD/USDJPY da +0,586 en precios frente a -0,060 en rendimientos); demostro que pandas ignora el offset con "1D" y que el codigo usa "24h", con el 100% de las velas diarias ancladas a las 22:00; y SIN REGRESION en precios_mercado.py, cuyo ATR regenerado sale identico digito a digito al […] texto completo en 00-direccion/WBS.md</t>
        </is>
      </c>
      <c r="G17" s="4" t="inlineStr">
        <is>
          <t>FICHA (31/07): Alcance: matriz de correlaciones 8x8 sobre RENDIMIENTOS logaritmicos (nunca sobre precios), en 3 ventanas (3 meses, 1 año, 2 años) y en LAS TRES VELAS (15m, 1h, 4h), mas la diaria como comprobacion. Por que las tres velas: la ficha original decia "en la vela elegida", pero la vela se elige en G1, que es despues; calcular las tres evita adivinar (regla 6 de CLAUDE.md) y deja a la puerta el dato elija la que elija. Corte: 22:00 UTC unico, imprescindible o los rendimientos no […] texto completo en 00-direccion/WBS.md</t>
        </is>
      </c>
    </row>
    <row r="18">
      <c r="A18" s="13" t="inlineStr">
        <is>
          <t>02.02.04</t>
        </is>
      </c>
      <c r="B18" s="4" t="inlineStr">
        <is>
          <t>Historial disponible: años, fuente, coste</t>
        </is>
      </c>
      <c r="C18" s="4" t="inlineStr">
        <is>
          <t>Investigador</t>
        </is>
      </c>
      <c r="D18" s="4" t="inlineStr">
        <is>
          <t>02.01.01</t>
        </is>
      </c>
      <c r="E18" s="4" t="inlineStr">
        <is>
          <t>Hecha</t>
        </is>
      </c>
      <c r="F18" s="4" t="inlineStr">
        <is>
          <t>** — Dukascopy (tick desde 2003, forex y oro al contado), HistData, TrueFX, Binance, Kraken. Todo gratis, muy por encima de los 5 años exigidos</t>
        </is>
      </c>
      <c r="G18" s="4" t="inlineStr"/>
    </row>
    <row r="19">
      <c r="A19" s="13" t="inlineStr">
        <is>
          <t>02.02.05</t>
        </is>
      </c>
      <c r="B19" s="4" t="inlineStr">
        <is>
          <t>NUEVA: coste de mantener posición de un día para otro (swap/financiación) en los 8 instrumentos, 2-3 brokers. En cripto CFD puede superar varias veces al spread</t>
        </is>
      </c>
      <c r="C19" s="4" t="inlineStr">
        <is>
          <t>Investigador</t>
        </is>
      </c>
      <c r="D19" s="4" t="inlineStr">
        <is>
          <t>02.01.01</t>
        </is>
      </c>
      <c r="E19" s="4" t="inlineStr">
        <is>
          <t>Hecha</t>
        </is>
      </c>
      <c r="F19" s="4" t="inlineStr">
        <is>
          <t>** 31/07 — coste_swap.md. Coste de mantener posicion en 8 instrumentos x 3 brokers (OANDA, XTB, Pepperstone), largo y corto por separado, en % anual y $/dia sobre 100.000 USD. VERIFICADO por recalculo independiente: las 30 celdas con % y $/dia cuadran; signos de USDJPY y USDCHF coherentes entre brokers (L-006 comprobada, sin inversion de convencion). HALLAZGO PARA G1: mantener cripto cuesta -33,6% anual (OANDA) y -22,5% (Pepperstone), entre 20 y 30 veces mas que entrar y salir; el oro -6,6%/-8,2%; y USDCHF y USDJPY en largo PAGAN (+2,6% y +1,6%). Implicacion: si entra cripto en el portafolio, la estrategia no puede aguantar posiciones de un dia para otro. HUECO DECLARADO: ETHUSD queda con […] texto completo en 00-direccion/WBS.md</t>
        </is>
      </c>
      <c r="G19" s="4" t="inlineStr"/>
    </row>
    <row r="20">
      <c r="A20" s="13" t="inlineStr">
        <is>
          <t>02.03.01</t>
        </is>
      </c>
      <c r="B20" s="4" t="inlineStr">
        <is>
          <t>Revisión independiente de método, fuentes y números</t>
        </is>
      </c>
      <c r="C20" s="4" t="inlineStr">
        <is>
          <t>Orquestador</t>
        </is>
      </c>
      <c r="D20" s="4" t="inlineStr">
        <is>
          <t>02.02.*</t>
        </is>
      </c>
      <c r="E20" s="4" t="inlineStr">
        <is>
          <t>Hecha</t>
        </is>
      </c>
      <c r="F20" s="4" t="inlineStr">
        <is>
          <t>02/08 — 04-resultados/veredictos/veredicto_fase_02.md y 03-motor/scripts/deriva_oro.py. Segunda pasada del RECHAZA del 31/07. ACEPTA CON HUECOS DECLARADOS, válido SOLO si el defecto del motivo 5 llega declarado al CEO en la ficha de G1; si se omite, decae y rige el RECHAZA. Balance: 4 cerrados (1, 3, 6, 7), 3 abiertos (2, 4, 5), el 5 escalado. Motivo 3 zanjado por ejecución: XAUUSD a 4h pasa de 2,32% a 4,22% y 5,43%, bajo el umbral del 10%, así que la deriva del coste del oro NO cambia el veredicto a 4h; sí lo rompe a 1h (11,01%) y a 15m (19,80-25,46%). Motivo 5 confirmado uno a uno: 7 de 8 instrumentos** mezclan broker o tipo de cuenta; solo BTCUSD comparte fuente. RECORRIDO: validador […] texto completo en 00-direccion/WBS.md</t>
        </is>
      </c>
      <c r="G20" s="4" t="inlineStr"/>
    </row>
    <row r="21">
      <c r="A21" s="13" t="inlineStr">
        <is>
          <t>02.03.02</t>
        </is>
      </c>
      <c r="B21" s="4" t="inlineStr">
        <is>
          <t>Informe de decisión: mercado y vela. El alcance original decía 3-5 mercados poco correlacionados y 1-2 velas, alcance que D-19 sustituye por un solo mercado</t>
        </is>
      </c>
      <c r="C21" s="4" t="inlineStr">
        <is>
          <t>Orquestador</t>
        </is>
      </c>
      <c r="D21" s="4" t="inlineStr">
        <is>
          <t>02.03.01</t>
        </is>
      </c>
      <c r="E21" s="4" t="inlineStr">
        <is>
          <t>Hecha</t>
        </is>
      </c>
      <c r="F21" s="4" t="inlineStr">
        <is>
          <t>03/08 — 01-investigacion/mercados/INFORME_DECISION_G1.md y 03-motor/scripts/cestas_g1.py. Escrito por el validador, RECHAZADO por critico-codigo en ronda 1 por tres motivos (la ficha colisionaba con D-18, ya firmada ese día; el máximo medido de 5,05x quedaba fuera de la ficha que lee el CEO, que decía 4,5x; ficha de 1.566 caracteres) y ACEPTADO en ronda 2 tras reparación del propio validador. Medido por ejecución y reproducido después por Claude Code: a 4h no existe ninguna cesta admisible de 4 ni de 5 instrumentos, existen exactamente 4 de 3**, y XAUUSD está en las cuatro. La condición del ACEPTA de 02.03.01 queda cumplida: el defecto del motivo 5 llegó declarado al CEO como AVISO 1.</t>
        </is>
      </c>
      <c r="G21" s="4" t="inlineStr"/>
    </row>
    <row r="22">
      <c r="A22" s="13" t="inlineStr">
        <is>
          <t>02.03.03</t>
        </is>
      </c>
      <c r="B22" s="4" t="inlineStr">
        <is>
          <t>PUERTA G1: el CEO elige</t>
        </is>
      </c>
      <c r="C22" s="28" t="inlineStr">
        <is>
          <t>CEO</t>
        </is>
      </c>
      <c r="D22" s="4" t="inlineStr">
        <is>
          <t>02.03.02</t>
        </is>
      </c>
      <c r="E22" s="4" t="inlineStr">
        <is>
          <t>Hecha</t>
        </is>
      </c>
      <c r="F22" s="4" t="inlineStr">
        <is>
          <t>03/08 — D-19: XAUUSD (oro al contado), vela de 4h, UN SOLO MERCADO. Opción propia del CEO, fuera de las cuatro presentadas. Deroga D-2** (portafolio de 3-5 mercados). La ampliación a un segundo mercado queda condicionada a que una hipótesis demuestre ganar dinero de verdad. Consecuencias registradas en D-19: G1-C5 queda sin objeto mientras haya un solo mercado, y los cinco huecos declarados del oro pasan a ser el riesgo entero del proyecto.</t>
        </is>
      </c>
      <c r="G22" s="4" t="inlineStr"/>
    </row>
    <row r="23" ht="20" customHeight="1">
      <c r="A23" s="36" t="inlineStr">
        <is>
          <t>03</t>
        </is>
      </c>
      <c r="B23" s="37" t="inlineStr">
        <is>
          <t>MONTAR LA CASA (CLAUDE CODE) — EN PARALELO CON LA FASE 02</t>
        </is>
      </c>
      <c r="C23" s="37" t="n"/>
      <c r="D23" s="37" t="n"/>
      <c r="E23" s="37" t="n"/>
      <c r="F23" s="37" t="n"/>
      <c r="G23" s="37" t="n"/>
    </row>
    <row r="24">
      <c r="A24" s="13" t="inlineStr">
        <is>
          <t>03.01.01</t>
        </is>
      </c>
      <c r="B24" s="4" t="inlineStr">
        <is>
          <t>Repositorio: carpetas, WBS texto, CLAUDE.md, DECISIONES.md, LECCIONES.md</t>
        </is>
      </c>
      <c r="C24" s="4" t="inlineStr">
        <is>
          <t>Constructores</t>
        </is>
      </c>
      <c r="D24" s="4" t="inlineStr">
        <is>
          <t>01.01.01</t>
        </is>
      </c>
      <c r="E24" s="4" t="inlineStr">
        <is>
          <t>Hecha</t>
        </is>
      </c>
      <c r="F24" s="4" t="inlineStr">
        <is>
          <t>30/07 — repo completo: carpetas, WBS, CLAUDE.md, DECISIONES.md, LECCIONES.md, plantillas y .gitignore (42 ficheros en git). AVISO regla 27 de CLAUDE.md NO VERIFICADA**: la prueba de inyección de datos no se ha ejecutado; 02-datos/ está vacío. Se ejecuta al bajar los primeros precios en 02.02.01</t>
        </is>
      </c>
      <c r="G24" s="4" t="inlineStr"/>
    </row>
    <row r="25">
      <c r="A25" s="13" t="inlineStr">
        <is>
          <t>03.01.02</t>
        </is>
      </c>
      <c r="B25" s="4" t="inlineStr">
        <is>
          <t>Crear TODOS los agentes del Equipo, cada uno con su modelo y descripción sin ambigüedad; prueba de activación de todos (ningún agente fantasma)</t>
        </is>
      </c>
      <c r="C25" s="4" t="inlineStr">
        <is>
          <t>Constructores</t>
        </is>
      </c>
      <c r="D25" s="4" t="inlineStr">
        <is>
          <t>03.01.01, 01.02.01</t>
        </is>
      </c>
      <c r="E25" s="4" t="inlineStr">
        <is>
          <t>Hecha</t>
        </is>
      </c>
      <c r="F25" s="4" t="inlineStr">
        <is>
          <t>** 30/07 — 8 agentes en .claude/agents/, cada uno con identificador exacto de modelo y respaldo. Prueba de activación ejecutada 30/07: los 8 respondieron y leyeron un fichero real, ningún fantasma. LÍMITE: la prueba no demuestra que el modelo enrutado sea el de la ficha; se verifica en 03.01.04, con atención a claude-fable-5 (validador y arquitecto)</t>
        </is>
      </c>
      <c r="G25" s="4" t="inlineStr"/>
    </row>
    <row r="26">
      <c r="A26" s="13" t="inlineStr">
        <is>
          <t>03.01.03</t>
        </is>
      </c>
      <c r="B26" s="4" t="inlineStr">
        <is>
          <t>Ejecución desatendida: arranques programados, permisos AMPLIOS por defecto (git como red de seguridad) y topes de gasto</t>
        </is>
      </c>
      <c r="C26" s="4" t="inlineStr">
        <is>
          <t>Constructores</t>
        </is>
      </c>
      <c r="D26" s="4" t="inlineStr">
        <is>
          <t>03.01.02</t>
        </is>
      </c>
      <c r="E26" s="4" t="inlineStr">
        <is>
          <t>Pendiente</t>
        </is>
      </c>
      <c r="F26" s="4" t="inlineStr"/>
      <c r="G26" s="4" t="inlineStr">
        <is>
          <t>FICHA (03/08, D-20): Cómo se arranca: claude -p en modo no interactivo lanzado desde el cron del sistema. Los arranques programados son dos líneas de crontab y no requieren ninguna pieza externa. Cómo se avisa al humano sin instalar nada, idea 5 de las auditorías: hook nativo de tipo http, que hace el POST él mismo sin script intermedio, con los eventos StopFailure (admite matcher por tipo de error), Notification con matchers idle_prompt y permission_prompt —que detectan la tirada parada […] texto completo en 00-direccion/WBS.md</t>
        </is>
      </c>
    </row>
    <row r="27">
      <c r="A27" s="13" t="inlineStr">
        <is>
          <t>03.01.04</t>
        </is>
      </c>
      <c r="B27" s="4" t="inlineStr">
        <is>
          <t>Plan de respaldo de modelos: si un modelo no está disponible o rechaza, el agente sigue con su respaldo y lo anota</t>
        </is>
      </c>
      <c r="C27" s="4" t="inlineStr">
        <is>
          <t>Constructores</t>
        </is>
      </c>
      <c r="D27" s="4" t="inlineStr">
        <is>
          <t>03.01.02</t>
        </is>
      </c>
      <c r="E27" s="4" t="inlineStr">
        <is>
          <t>Pendiente</t>
        </is>
      </c>
      <c r="F27" s="4" t="inlineStr"/>
      <c r="G27" s="4" t="inlineStr">
        <is>
          <t>FICHA (03/08, D-20) — CORRECCIÓN DE ALCANCE, dicha sin adornos: esta tarea prometía que el agente «sigue con su respaldo», y eso no se puede automatizar entero: un hook no puede cambiar el modelo. Lo que sí se puede: el evento StopFailure admite matcher por tipo de error (rate_limit, overloaded, authentication_failed, server_error, entre otros) y SubagentStop avisa del fin de un subagente. Con ellos, un fallo silencioso pasa a ser un fallo registrado. Esta tarea entrega esa mitad mecánica. El […] texto completo en 00-direccion/WBS.md</t>
        </is>
      </c>
    </row>
    <row r="28">
      <c r="A28" s="13" t="inlineStr">
        <is>
          <t>03.01.05</t>
        </is>
      </c>
      <c r="B28" s="4" t="inlineStr">
        <is>
          <t>PRUEBA REAL DEL MOTOR: un día entero de trabajo desatendido de verdad antes de dar la fase por buena</t>
        </is>
      </c>
      <c r="C28" s="4" t="inlineStr">
        <is>
          <t>Orquestador</t>
        </is>
      </c>
      <c r="D28" s="4" t="inlineStr">
        <is>
          <t>03.01.03, 03.01.04</t>
        </is>
      </c>
      <c r="E28" s="4" t="inlineStr">
        <is>
          <t>Pendiente</t>
        </is>
      </c>
      <c r="F28" s="4" t="inlineStr"/>
      <c r="G28" s="4" t="inlineStr"/>
    </row>
    <row r="29">
      <c r="A29" s="13" t="inlineStr">
        <is>
          <t>03.01.06</t>
        </is>
      </c>
      <c r="B29" s="4" t="inlineStr">
        <is>
          <t>Plantilla y automatismo de fichas de decisión: el secretario prepara cada decisión del CEO en el formato obligatorio y la adjunta al informe semanal</t>
        </is>
      </c>
      <c r="C29" s="4" t="inlineStr">
        <is>
          <t>Secretario</t>
        </is>
      </c>
      <c r="D29" s="4" t="inlineStr">
        <is>
          <t>03.01.02</t>
        </is>
      </c>
      <c r="E29" s="4" t="inlineStr">
        <is>
          <t>Pendiente</t>
        </is>
      </c>
      <c r="F29" s="4" t="inlineStr"/>
      <c r="G29" s="4" t="inlineStr"/>
    </row>
    <row r="30">
      <c r="A30" s="13" t="inlineStr">
        <is>
          <t>03.01.07</t>
        </is>
      </c>
      <c r="B30" s="4" t="inlineStr">
        <is>
          <t>Cola de aprobación del CEO: tabla con desplegable Aprobado / Saltar / Corregir y columna de corrección. Lo aprobado se ejecuta solo; lo corregido se rehace Y la corrección se guarda en LECCIONES.md</t>
        </is>
      </c>
      <c r="C30" s="4" t="inlineStr">
        <is>
          <t>Secretario</t>
        </is>
      </c>
      <c r="D30" s="4" t="inlineStr">
        <is>
          <t>03.01.06</t>
        </is>
      </c>
      <c r="E30" s="4" t="inlineStr">
        <is>
          <t>Pendiente</t>
        </is>
      </c>
      <c r="F30" s="4" t="inlineStr"/>
      <c r="G30" s="4" t="inlineStr"/>
    </row>
    <row r="31">
      <c r="A31" s="13" t="inlineStr">
        <is>
          <t>03.01.08</t>
        </is>
      </c>
      <c r="B31" s="4" t="inlineStr">
        <is>
          <t>Prueba de fuego de las barreras (regla 25 de CLAUDE.md): inyectar cada caso prohibido —leer el cajón reservado, escribir fuera del proyecto, borrar datos, gastar dinero— y comprobar que se bloquea de verdad. Lo que no se bloquee se marca "no verificada"</t>
        </is>
      </c>
      <c r="C31" s="4" t="inlineStr">
        <is>
          <t>Crítico</t>
        </is>
      </c>
      <c r="D31" s="4" t="inlineStr">
        <is>
          <t>03.01.01, 03.01.02</t>
        </is>
      </c>
      <c r="E31" s="4" t="inlineStr">
        <is>
          <t>En curso</t>
        </is>
      </c>
      <c r="F31" s="4" t="inlineStr">
        <is>
          <t>ejecutada la primera pasada 31/07 con verificar_barreras.py: 4 barreras de 5 VERIFICADAS por ejecucion (hooks instalados, datos rechazados en commit, .gitignore ignora 02-datos, mensaje exige codigo WBS). 1 NO VERIFICADA: el cajon reservado era un filtro de texto sobre el comando. CORRECCIÓN DE DEPENDENCIA (03/08/2026): la dependencia de 03.01.03 fue falsa desde el inicio — verificar_barreras.py ejecutada el 31/07 sin que 03.01.03 existiera ya. Las barreras probadas (hooks, .gitignore, commit-msg, cifrado) dependen de 03.01.01 (repo con WBS y reglas) y 03.01.02 (ocho agentes creados). Se remedia en 03.01.11 (D-10). No se cierra hasta repetir la pasada con 03.01.11 terminada</t>
        </is>
      </c>
      <c r="G31" s="4" t="inlineStr"/>
    </row>
    <row r="32">
      <c r="A32" s="13" t="inlineStr">
        <is>
          <t>03.01.09</t>
        </is>
      </c>
      <c r="B32" s="4" t="inlineStr">
        <is>
          <t>Enrutado por tipo de tarea y comprobación de que el WBS genera tareas de cada tipo de agente (ver L-010 de LECCIONES.md; sin número propio en CLAUDE.md)</t>
        </is>
      </c>
      <c r="C32" s="4" t="inlineStr">
        <is>
          <t>Constructores</t>
        </is>
      </c>
      <c r="D32" s="4" t="inlineStr">
        <is>
          <t>03.01.02</t>
        </is>
      </c>
      <c r="E32" s="4" t="inlineStr">
        <is>
          <t>Pendiente</t>
        </is>
      </c>
      <c r="F32" s="4" t="inlineStr"/>
      <c r="G32" s="4" t="inlineStr"/>
    </row>
    <row r="33">
      <c r="A33" s="13" t="inlineStr">
        <is>
          <t>03.01.10</t>
        </is>
      </c>
      <c r="B33" s="4" t="inlineStr">
        <is>
          <t>Testbed sintético de invarianza: resultado de referencia fijo que debe reproducirse tras cualquier cambio del motor</t>
        </is>
      </c>
      <c r="C33" s="4" t="inlineStr">
        <is>
          <t>Constructores</t>
        </is>
      </c>
      <c r="D33" s="4" t="inlineStr">
        <is>
          <t>03.01.01</t>
        </is>
      </c>
      <c r="E33" s="4" t="inlineStr">
        <is>
          <t>Pendiente</t>
        </is>
      </c>
      <c r="F33" s="4" t="inlineStr"/>
      <c r="G33" s="4" t="inlineStr"/>
    </row>
    <row r="34">
      <c r="A34" s="13" t="inlineStr">
        <is>
          <t>03.01.13</t>
        </is>
      </c>
      <c r="B34" s="4" t="inlineStr">
        <is>
          <t>NUEVA 01/08 (L-015): una sola lista de reglas. Hoy CLAUDE.md y este WBS llevan cada uno una lista de «29 reglas» con contenido distinto bajo el mismo número, así que toda cita regla N del proyecto es ambigua</t>
        </is>
      </c>
      <c r="C34" s="28" t="inlineStr">
        <is>
          <t>Constructores + CEO</t>
        </is>
      </c>
      <c r="D34" s="4" t="inlineStr">
        <is>
          <t>—</t>
        </is>
      </c>
      <c r="E34" s="4" t="inlineStr">
        <is>
          <t>Hecha</t>
        </is>
      </c>
      <c r="F34" s="4" t="inlineStr"/>
      <c r="G34" s="4" t="inlineStr">
        <is>
          <t>FICHA (01/08): Hallazgo, comprobado por grep sobre los dos ficheros el 01/08: regla 16 = «nadie valida su propio trabajo» (CLAUDE.md) frente a «test de compuerta» (WBS) · regla 23 = «dos niveles de barrera» frente a «un fallo reportado no es un fallo verificado» · regla 25 = «toda barrera se verifica por ejecución» frente a «cada agente lleva el identificador exacto de su modelo». Por qué importa: la regla 12 de CLAUDE.md exige que toda cita se localice con grep antes de entrar en un informe; […] texto completo en 00-direccion/WBS.md</t>
        </is>
      </c>
    </row>
    <row r="35">
      <c r="A35" s="13" t="inlineStr">
        <is>
          <t>03.01.12</t>
        </is>
      </c>
      <c r="B35" s="4" t="inlineStr">
        <is>
          <t>NUEVA 01/08 (petición del CEO): fijar la estrategia de ramas de git. Criterio del CEO, literal: que dé agilidad, no complejidad</t>
        </is>
      </c>
      <c r="C35" s="4" t="inlineStr">
        <is>
          <t>Constructores</t>
        </is>
      </c>
      <c r="D35" s="4" t="inlineStr">
        <is>
          <t>03.01.01</t>
        </is>
      </c>
      <c r="E35" s="4" t="inlineStr">
        <is>
          <t>Pendiente</t>
        </is>
      </c>
      <c r="F35" s="4" t="inlineStr"/>
      <c r="G35" s="4" t="inlineStr">
        <is>
          <t>FICHA (01/08): Estado de partida, comprobado por ejecución el 01/08: git branch -a → una sola rama, main · git remote -v → vacío, no hay remoto · 16 commits · un solo humano. Alcance: decidir y dejar escrito (a) cuándo se trabaja en main y cuándo no, (b) si se usan worktrees y para qué, (c) qué NO se hace. Lo que ya se sabe y no hay que volver a investigar: Claude Code 2.1.220 trae worktrees nativos (claude --worktree &lt;nombre&gt;, y isolation: worktree en la ficha de un subagente) · los worktrees […] texto completo en 00-direccion/WBS.md</t>
        </is>
      </c>
    </row>
    <row r="36">
      <c r="A36" s="13" t="inlineStr">
        <is>
          <t>03.01.11</t>
        </is>
      </c>
      <c r="B36" s="4" t="inlineStr">
        <is>
          <t>NUEVA 31/07 (D-10): guardia del cajon reservado por cifrado. Script cajon_reservado.py: la contraseña solo la tiene el CEO, no se guarda, se pide en cada operacion y nada se descifra a disco</t>
        </is>
      </c>
      <c r="C36" s="4" t="inlineStr">
        <is>
          <t>Constructores</t>
        </is>
      </c>
      <c r="D36" s="4" t="inlineStr">
        <is>
          <t>03.01.08</t>
        </is>
      </c>
      <c r="E36" s="4" t="inlineStr">
        <is>
          <t>En curso</t>
        </is>
      </c>
      <c r="F36" s="4" t="inlineStr">
        <is>
          <t>script escrito y probado por ejecucion 31/07: 6 de 6 casos prohibidos bloqueados (contraseña por tuberia, abrir sin declarar variante, lectura a pelo del fichero cifrado, contraseña incorrecta, y ninguna orden de terminal vuelca datos en claro). VERIFICADO POR EJECUCION (03/08/2026): 04-resultados/registro-cajon.md registra una entrada SELLAR del 31/07 a las 18:31:29 UTC con resultado sellado. La funcion sellar() en cajon_reservado.py aborta con mensaje «El cajon ya esta sellado» si se intenta llamar una segunda vez. El CEO confirmo el 03/08/2026 que la contraseña la tecleo en una terminal real del sistema (nunca mediante el prefijo de ejecucion rapida de la sesion de Claude Code), porque […] texto completo en 00-direccion/WBS.md</t>
        </is>
      </c>
      <c r="G36" s="4" t="inlineStr"/>
    </row>
    <row r="37">
      <c r="A37" s="13" t="inlineStr">
        <is>
          <t>03.01.14</t>
        </is>
      </c>
      <c r="B37" s="4" t="inlineStr">
        <is>
          <t>NUEVA 01/08 (deuda detectada al cerrar 03.01.13): la hoja REGLAS del Excel del CEO la construye 05-vista-ceo/generar_excel.py leyendo las líneas numeradas de la sección de reglas del WBS, que tras D-16 ya no existen: la hoja saldría vacía bajo el título «LAS 29 REGLAS», y verificar_excel.py no comprueba esa hoja, así que sus 8 pruebas pasarían igual (L-016). Hay que leer las reglas de CLAUDE.md y añadir una prueba que falle si la hoja sale vacía. Deuda de motor: no se ejecuta sin permiso del CEO.</t>
        </is>
      </c>
      <c r="C37" s="4" t="inlineStr">
        <is>
          <t>Constructores</t>
        </is>
      </c>
      <c r="D37" s="4" t="inlineStr">
        <is>
          <t>03.01.13</t>
        </is>
      </c>
      <c r="E37" s="4" t="inlineStr">
        <is>
          <t>Pendiente</t>
        </is>
      </c>
      <c r="F37" s="4" t="inlineStr">
        <is>
          <t>**</t>
        </is>
      </c>
      <c r="G37" s="4" t="inlineStr"/>
    </row>
    <row r="38">
      <c r="A38" s="13" t="inlineStr">
        <is>
          <t>03.01.15</t>
        </is>
      </c>
      <c r="B38" s="4" t="inlineStr">
        <is>
          <t>Herramientas del secretario: puede escribir los registros que solo admiten añadir pero no puede verificarlos</t>
        </is>
      </c>
      <c r="C38" s="4" t="inlineStr">
        <is>
          <t>Constructores</t>
        </is>
      </c>
      <c r="D38" s="4" t="inlineStr">
        <is>
          <t>03.01.02</t>
        </is>
      </c>
      <c r="E38" s="4" t="inlineStr">
        <is>
          <t>Pendiente</t>
        </is>
      </c>
      <c r="F38" s="4" t="inlineStr"/>
      <c r="G38" s="4" t="inlineStr">
        <is>
          <t>NUEVA 02/08 (tres incidentes reales el 02/08): secretario mantiene los tres registros que solo admiten añadir y todas las fichas del CEO, y no tiene Bash: no puede comprobar por ejecución ninguna de las reglas que gobiernan su trabajo. El 02/08 falló tres veces por lo mismo — no pudo verificar el pegado en tabla, ni el append-only, ni el ancho de su ficha — y las tres las descubrió otro agente, que es la regla 15 de CLAUDE.md rota por diseño, no por descuido. Decidir entre dos salidas, y NO se […] texto completo en 00-direccion/WBS.md</t>
        </is>
      </c>
    </row>
    <row r="39">
      <c r="A39" s="13" t="inlineStr">
        <is>
          <t>03.01.16</t>
        </is>
      </c>
      <c r="B39" s="4" t="inlineStr">
        <is>
          <t>Las hojas del Excel se construyen de sus fuentes primarias, no de copias</t>
        </is>
      </c>
      <c r="C39" s="4" t="inlineStr">
        <is>
          <t>Constructores</t>
        </is>
      </c>
      <c r="D39" s="4" t="inlineStr">
        <is>
          <t>03.01.13, 03.01.14</t>
        </is>
      </c>
      <c r="E39" s="4" t="inlineStr">
        <is>
          <t>Pendiente</t>
        </is>
      </c>
      <c r="F39" s="4" t="inlineStr"/>
      <c r="G39" s="4" t="inlineStr">
        <is>
          <t>FICHA (03/08): Problema verificado hoy: 05-vista-ceo/generar_excel.py construye las hojas REGLAS, LECCIONES y DECISIONES, pero lo hace leyendo tablas espejo en el WBS, no de las fuentes primarias. Consecuencia: (1) hoja REGLAS sale vacía tras D-16 (las reglas ya no están numeradas en el WBS); (2) hoja LECCIONES muestra 18 cuando 00-direccion/LECCIONES.md tiene 23 (L-016); (3) hoja DECISIONES muestra 0 cuando 00-direccion/DECISIONES.md tiene 16 — el CEO no ve ninguna de sus propias decisiones […] texto completo en 00-direccion/WBS.md</t>
        </is>
      </c>
    </row>
    <row r="40">
      <c r="A40" s="13" t="inlineStr">
        <is>
          <t>03.01.17</t>
        </is>
      </c>
      <c r="B40" s="4" t="inlineStr">
        <is>
          <t>Reparar la prueba 7 de verificar_excel.py (entregables de las tareas hechas)</t>
        </is>
      </c>
      <c r="C40" s="4" t="inlineStr">
        <is>
          <t>Constructor de motor</t>
        </is>
      </c>
      <c r="D40" s="4" t="inlineStr">
        <is>
          <t>03.01.13</t>
        </is>
      </c>
      <c r="E40" s="4" t="inlineStr">
        <is>
          <t>Pendiente</t>
        </is>
      </c>
      <c r="F40" s="4" t="inlineStr"/>
      <c r="G40" s="4" t="inlineStr">
        <is>
          <t>FICHA (03/08): Problema reproducido hoy: la prueba 7 localiza entregables citados en las celdas de tarea, pero corta cada celda por el primer hecha y solo examina lo que va después. En 03.01.13 ese marcador es el último carácter de la celda, así que examina cero ficheros y no caza que esa tarea, marcada hecha, cita 00-direccion/PENDIENTE-03.01.13-lista-de-reglas.md, que no existe en disco ni ha existido nunca en git. Dos defectos más: busca por nombre de fichero en CUALQUIER parte del […] texto completo en 00-direccion/WBS.md</t>
        </is>
      </c>
    </row>
    <row r="41">
      <c r="A41" s="13" t="inlineStr">
        <is>
          <t>03.01.18</t>
        </is>
      </c>
      <c r="B41" s="4" t="inlineStr">
        <is>
          <t>NUEVA 03/08 (D-20, idea 1 de las auditorías): contador mecánico del reparto producto/motor, inyectado en el contexto al arrancar cada tirada</t>
        </is>
      </c>
      <c r="C41" s="4" t="inlineStr">
        <is>
          <t>Constructores</t>
        </is>
      </c>
      <c r="D41" s="4" t="inlineStr">
        <is>
          <t>03.01.01</t>
        </is>
      </c>
      <c r="E41" s="4" t="inlineStr">
        <is>
          <t>Pendiente</t>
        </is>
      </c>
      <c r="F41" s="4" t="inlineStr"/>
      <c r="G41" s="4" t="inlineStr">
        <is>
          <t>FICHA (03/08): Problema, medido y no supuesto: el techo del 20% de motor de la regla 8 de CLAUDE.md es prosa y nadie lo mide. La primera vez que se midió, el 01/08, el reparto real era 7 de 16 commits, 43,8%, más del doble del techo, y el proyecto llevaba desde el arranque sin saberlo. Qué se construye: un hook SessionStart que calcula el reparto desde git log y lo inyecta en el contexto con hookSpecificOutput.additionalContext, de forma que cada tirada empiece con el número delante en vez de […] texto completo en 00-direccion/WBS.md</t>
        </is>
      </c>
    </row>
    <row r="42">
      <c r="A42" s="13" t="inlineStr">
        <is>
          <t>03.01.19</t>
        </is>
      </c>
      <c r="B42" s="4" t="inlineStr">
        <is>
          <t>NUEVA 03/08 (D-20, idea 2 de las auditorías): registro mecánico de autoría, para que «nadie valida su propio trabajo» deje de ser solo prosa</t>
        </is>
      </c>
      <c r="C42" s="4" t="inlineStr">
        <is>
          <t>Constructores</t>
        </is>
      </c>
      <c r="D42" s="4" t="inlineStr">
        <is>
          <t>03.01.02</t>
        </is>
      </c>
      <c r="E42" s="4" t="inlineStr">
        <is>
          <t>Pendiente</t>
        </is>
      </c>
      <c r="F42" s="4" t="inlineStr"/>
      <c r="G42" s="4" t="inlineStr">
        <is>
          <t>FICHA (03/08): Problema: la regla 16 de CLAUDE.md y C2 no tienen muro. Hoy dependen de que el orquestador reparta bien y de que nadie se equivoque; no hay forma de comprobar a posteriori quién escribió qué. Nivel 1, que es lo que ESTA tarea entrega: un hook PostToolUse con matcher de escritura anota en 04-resultados/autoria.jsonl qué fichero se tocó y qué tipo de agente lo tocó. El campo del tipo de agente viaja en la entrada JSON de todo hook que corre dentro de un subagente. Con eso la regla […] texto completo en 00-direccion/WBS.md</t>
        </is>
      </c>
    </row>
    <row r="43" ht="20" customHeight="1">
      <c r="A43" s="36" t="inlineStr">
        <is>
          <t>04</t>
        </is>
      </c>
      <c r="B43" s="37" t="inlineStr">
        <is>
          <t>HIPÓTESIS Y VALIDACIÓN (PUERTA G2)</t>
        </is>
      </c>
      <c r="C43" s="37" t="n"/>
      <c r="D43" s="37" t="n"/>
      <c r="E43" s="37" t="n"/>
      <c r="F43" s="37" t="n"/>
      <c r="G43" s="37" t="n"/>
    </row>
    <row r="44">
      <c r="A44" s="38" t="inlineStr">
        <is>
          <t>04.01</t>
        </is>
      </c>
      <c r="B44" s="39" t="inlineStr">
        <is>
          <t>Broker y cajones de datos</t>
        </is>
      </c>
      <c r="C44" s="39" t="n"/>
      <c r="D44" s="39" t="n"/>
      <c r="E44" s="39" t="n"/>
      <c r="F44" s="39" t="n"/>
      <c r="G44" s="39" t="n"/>
    </row>
    <row r="45">
      <c r="A45" s="13" t="inlineStr">
        <is>
          <t>04.01.01</t>
        </is>
      </c>
      <c r="B45" s="4" t="inlineStr">
        <is>
          <t>Comparar 3-4 brokers del mercado elegido; elegir uno y abrir demo (CEO firma)</t>
        </is>
      </c>
      <c r="C45" s="28" t="inlineStr">
        <is>
          <t>CEO + Orquestador</t>
        </is>
      </c>
      <c r="D45" s="4" t="inlineStr">
        <is>
          <t>02.03.03</t>
        </is>
      </c>
      <c r="E45" s="4" t="inlineStr">
        <is>
          <t>Pendiente</t>
        </is>
      </c>
      <c r="F45" s="4" t="inlineStr"/>
      <c r="G45" s="4" t="inlineStr"/>
    </row>
    <row r="46">
      <c r="A46" s="13" t="inlineStr">
        <is>
          <t>04.01.02</t>
        </is>
      </c>
      <c r="B46" s="4" t="inlineStr">
        <is>
          <t>Recalcular costes con precios reales del broker (sustituye 02.01.02)</t>
        </is>
      </c>
      <c r="C46" s="4" t="inlineStr">
        <is>
          <t>Constructor datos</t>
        </is>
      </c>
      <c r="D46" s="4" t="inlineStr">
        <is>
          <t>04.01.01</t>
        </is>
      </c>
      <c r="E46" s="4" t="inlineStr">
        <is>
          <t>Pendiente</t>
        </is>
      </c>
      <c r="F46" s="4" t="inlineStr"/>
      <c r="G46" s="4" t="inlineStr"/>
    </row>
    <row r="47">
      <c r="A47" s="13" t="inlineStr">
        <is>
          <t>04.01.03</t>
        </is>
      </c>
      <c r="B47" s="4" t="inlineStr">
        <is>
          <t>Histórico limpio partido en 3 cajones: construir (train), ajustar (validación) y RESERVADO bajo llave (OOS, se abre una sola vez por variante). Ningún agente toca el reservado</t>
        </is>
      </c>
      <c r="C47" s="4" t="inlineStr">
        <is>
          <t>Constructor datos</t>
        </is>
      </c>
      <c r="D47" s="4" t="inlineStr">
        <is>
          <t>04.01.01</t>
        </is>
      </c>
      <c r="E47" s="4" t="inlineStr">
        <is>
          <t>Pendiente</t>
        </is>
      </c>
      <c r="F47" s="4" t="inlineStr"/>
      <c r="G47" s="4" t="inlineStr"/>
    </row>
    <row r="48">
      <c r="A48" s="38" t="inlineStr">
        <is>
          <t>04.02</t>
        </is>
      </c>
      <c r="B48" s="39" t="inlineStr">
        <is>
          <t>Investigación de hipótesis</t>
        </is>
      </c>
      <c r="C48" s="39" t="n"/>
      <c r="D48" s="39" t="n"/>
      <c r="E48" s="39" t="n"/>
      <c r="F48" s="39" t="n"/>
      <c r="G48" s="39" t="n"/>
    </row>
    <row r="49">
      <c r="A49" s="13" t="inlineStr">
        <is>
          <t>04.02.01</t>
        </is>
      </c>
      <c r="B49" s="4" t="inlineStr">
        <is>
          <t>Barrido de fuentes: papers, libros, foros, GitHub, X. Regla: mínimo 2 fuentes independientes verificables por idea; vendedores de cursos/señales no son fuente</t>
        </is>
      </c>
      <c r="C49" s="4" t="inlineStr">
        <is>
          <t>Investigador</t>
        </is>
      </c>
      <c r="D49" s="4" t="inlineStr">
        <is>
          <t>03.01.02</t>
        </is>
      </c>
      <c r="E49" s="4" t="inlineStr">
        <is>
          <t>Pendiente</t>
        </is>
      </c>
      <c r="F49" s="4" t="inlineStr"/>
      <c r="G49" s="4" t="inlineStr"/>
    </row>
    <row r="50">
      <c r="A50" s="13" t="inlineStr">
        <is>
          <t>04.02.02</t>
        </is>
      </c>
      <c r="B50" s="4" t="inlineStr">
        <is>
          <t>Ficha por hipótesis: por qué existiría la ventaja, reglas de entrada/salida, mercado y vela. Sin lógica de por qué gana, no entra (nada de probar por probar)</t>
        </is>
      </c>
      <c r="C50" s="4" t="inlineStr">
        <is>
          <t>Investigador</t>
        </is>
      </c>
      <c r="D50" s="4" t="inlineStr">
        <is>
          <t>04.02.01</t>
        </is>
      </c>
      <c r="E50" s="4" t="inlineStr">
        <is>
          <t>Pendiente</t>
        </is>
      </c>
      <c r="F50" s="4" t="inlineStr"/>
      <c r="G50" s="4" t="inlineStr"/>
    </row>
    <row r="51">
      <c r="A51" s="13" t="inlineStr">
        <is>
          <t>04.02.03</t>
        </is>
      </c>
      <c r="B51" s="4" t="inlineStr">
        <is>
          <t>Filtro de sentido: el Validador puntúa y se eligen las 3-5 mejores</t>
        </is>
      </c>
      <c r="C51" s="4" t="inlineStr">
        <is>
          <t>Validador</t>
        </is>
      </c>
      <c r="D51" s="4" t="inlineStr">
        <is>
          <t>04.02.02</t>
        </is>
      </c>
      <c r="E51" s="4" t="inlineStr">
        <is>
          <t>Pendiente</t>
        </is>
      </c>
      <c r="F51" s="4" t="inlineStr"/>
      <c r="G51" s="4" t="inlineStr"/>
    </row>
    <row r="52">
      <c r="A52" s="13" t="inlineStr">
        <is>
          <t>04.02.04</t>
        </is>
      </c>
      <c r="B52" s="4" t="inlineStr">
        <is>
          <t>Pre-registro de variantes: cada hipótesis deja escritas sus variantes ANTES de probar (máx. 5-7 por hipótesis). Lo no registrado no se prueba</t>
        </is>
      </c>
      <c r="C52" s="4" t="inlineStr">
        <is>
          <t>Validador</t>
        </is>
      </c>
      <c r="D52" s="4" t="inlineStr">
        <is>
          <t>04.02.03</t>
        </is>
      </c>
      <c r="E52" s="4" t="inlineStr">
        <is>
          <t>Pendiente</t>
        </is>
      </c>
      <c r="F52" s="4" t="inlineStr"/>
      <c r="G52" s="4" t="inlineStr"/>
    </row>
    <row r="53">
      <c r="A53" s="38" t="inlineStr">
        <is>
          <t>04.03</t>
        </is>
      </c>
      <c r="B53" s="39" t="inlineStr">
        <is>
          <t>Laboratorio de pruebas (por hipótesis y variante)</t>
        </is>
      </c>
      <c r="C53" s="39" t="n"/>
      <c r="D53" s="39" t="n"/>
      <c r="E53" s="39" t="n"/>
      <c r="F53" s="39" t="n"/>
      <c r="G53" s="39" t="n"/>
    </row>
    <row r="54">
      <c r="A54" s="13" t="inlineStr">
        <is>
          <t>04.03.01</t>
        </is>
      </c>
      <c r="B54" s="4" t="inlineStr">
        <is>
          <t>Backtest con costes reales sobre el cajón de construir</t>
        </is>
      </c>
      <c r="C54" s="4" t="inlineStr">
        <is>
          <t>Constructores</t>
        </is>
      </c>
      <c r="D54" s="4" t="inlineStr">
        <is>
          <t>04.01.03, 04.02.04</t>
        </is>
      </c>
      <c r="E54" s="4" t="inlineStr">
        <is>
          <t>Pendiente</t>
        </is>
      </c>
      <c r="F54" s="4" t="inlineStr"/>
      <c r="G54" s="4" t="inlineStr"/>
    </row>
    <row r="55">
      <c r="A55" s="13" t="inlineStr">
        <is>
          <t>04.03.02</t>
        </is>
      </c>
      <c r="B55" s="4" t="inlineStr">
        <is>
          <t>Ajuste SOLO con el cajón de validación; lo que no aguanta, muere aquí</t>
        </is>
      </c>
      <c r="C55" s="4" t="inlineStr">
        <is>
          <t>Constructores</t>
        </is>
      </c>
      <c r="D55" s="4" t="inlineStr">
        <is>
          <t>04.03.01</t>
        </is>
      </c>
      <c r="E55" s="4" t="inlineStr">
        <is>
          <t>Pendiente</t>
        </is>
      </c>
      <c r="F55" s="4" t="inlineStr"/>
      <c r="G55" s="4" t="inlineStr"/>
    </row>
    <row r="56">
      <c r="A56" s="13" t="inlineStr">
        <is>
          <t>04.03.03</t>
        </is>
      </c>
      <c r="B56" s="4" t="inlineStr">
        <is>
          <t>Prueba de fuego: UNA sola pasada por variante sobre el cajón reservado (OOS). Repetir sería hacerse trampa</t>
        </is>
      </c>
      <c r="C56" s="4" t="inlineStr">
        <is>
          <t>Validador</t>
        </is>
      </c>
      <c r="D56" s="4" t="inlineStr">
        <is>
          <t>04.03.02</t>
        </is>
      </c>
      <c r="E56" s="4" t="inlineStr">
        <is>
          <t>Pendiente</t>
        </is>
      </c>
      <c r="F56" s="4" t="inlineStr"/>
      <c r="G56" s="4" t="inlineStr"/>
    </row>
    <row r="57">
      <c r="A57" s="13" t="inlineStr">
        <is>
          <t>04.03.04</t>
        </is>
      </c>
      <c r="B57" s="4" t="inlineStr">
        <is>
          <t>Robustez: Monte Carlo (barajar el orden de operaciones y meter pequeños cambios miles de veces: ¿aguanta o era suerte?) + walk-forward (repetir el ajuste avanzando en el tiempo)</t>
        </is>
      </c>
      <c r="C57" s="4" t="inlineStr">
        <is>
          <t>Validador</t>
        </is>
      </c>
      <c r="D57" s="4" t="inlineStr">
        <is>
          <t>04.03.03</t>
        </is>
      </c>
      <c r="E57" s="4" t="inlineStr">
        <is>
          <t>Pendiente</t>
        </is>
      </c>
      <c r="F57" s="4" t="inlineStr"/>
      <c r="G57" s="4" t="inlineStr"/>
    </row>
    <row r="58">
      <c r="A58" s="13" t="inlineStr">
        <is>
          <t>04.03.05</t>
        </is>
      </c>
      <c r="B58" s="4" t="inlineStr">
        <is>
          <t>Veredicto pasa/no pasa por variante, con los criterios de G2. Quien construyó no vota</t>
        </is>
      </c>
      <c r="C58" s="4" t="inlineStr">
        <is>
          <t>Validador</t>
        </is>
      </c>
      <c r="D58" s="4" t="inlineStr">
        <is>
          <t>04.03.04</t>
        </is>
      </c>
      <c r="E58" s="4" t="inlineStr">
        <is>
          <t>Pendiente</t>
        </is>
      </c>
      <c r="F58" s="4" t="inlineStr"/>
      <c r="G58" s="4" t="inlineStr"/>
    </row>
    <row r="59">
      <c r="A59" s="38" t="inlineStr">
        <is>
          <t>04.04</t>
        </is>
      </c>
      <c r="B59" s="39" t="inlineStr">
        <is>
          <t>Decisión y bucle</t>
        </is>
      </c>
      <c r="C59" s="39" t="n"/>
      <c r="D59" s="39" t="n"/>
      <c r="E59" s="39" t="n"/>
      <c r="F59" s="39" t="n"/>
      <c r="G59" s="39" t="n"/>
    </row>
    <row r="60">
      <c r="A60" s="13" t="inlineStr">
        <is>
          <t>04.04.01</t>
        </is>
      </c>
      <c r="B60" s="4" t="inlineStr">
        <is>
          <t>Informe de la vuelta: qué pasó, qué murió y por qué. Registro de TODAS las pruebas, también fallidas</t>
        </is>
      </c>
      <c r="C60" s="4" t="inlineStr">
        <is>
          <t>Secretario</t>
        </is>
      </c>
      <c r="D60" s="4" t="inlineStr">
        <is>
          <t>04.03.05</t>
        </is>
      </c>
      <c r="E60" s="4" t="inlineStr">
        <is>
          <t>Pendiente</t>
        </is>
      </c>
      <c r="F60" s="4" t="inlineStr"/>
      <c r="G60" s="4" t="inlineStr"/>
    </row>
    <row r="61">
      <c r="A61" s="13" t="inlineStr">
        <is>
          <t>04.04.02</t>
        </is>
      </c>
      <c r="B61" s="4" t="inlineStr">
        <is>
          <t>Si ninguna pasa: volver a 04.02 con lecciones (vuelta 2, 3…). Tras la 3ª vuelta sin éxito: revisión completa del planteamiento con el CEO</t>
        </is>
      </c>
      <c r="C61" s="4" t="inlineStr">
        <is>
          <t>Orquestador</t>
        </is>
      </c>
      <c r="D61" s="4" t="inlineStr">
        <is>
          <t>04.04.01</t>
        </is>
      </c>
      <c r="E61" s="4" t="inlineStr">
        <is>
          <t>Pendiente</t>
        </is>
      </c>
      <c r="F61" s="4" t="inlineStr"/>
      <c r="G61" s="4" t="inlineStr"/>
    </row>
    <row r="62">
      <c r="A62" s="13" t="inlineStr">
        <is>
          <t>04.04.03</t>
        </is>
      </c>
      <c r="B62" s="4" t="inlineStr">
        <is>
          <t>PUERTA G2: el CEO decide qué pasa a demo</t>
        </is>
      </c>
      <c r="C62" s="28" t="inlineStr">
        <is>
          <t>CEO</t>
        </is>
      </c>
      <c r="D62" s="4" t="inlineStr">
        <is>
          <t>04.04.01</t>
        </is>
      </c>
      <c r="E62" s="4" t="inlineStr">
        <is>
          <t>Pendiente</t>
        </is>
      </c>
      <c r="F62" s="4" t="inlineStr"/>
      <c r="G62" s="4" t="inlineStr"/>
    </row>
    <row r="63" ht="20" customHeight="1">
      <c r="A63" s="36" t="inlineStr">
        <is>
          <t>05</t>
        </is>
      </c>
      <c r="B63" s="37" t="inlineStr">
        <is>
          <t>DEMO (PUERTA G3) — SE DETALLA AL CERRAR G2</t>
        </is>
      </c>
      <c r="C63" s="37" t="n"/>
      <c r="D63" s="37" t="n"/>
      <c r="E63" s="37" t="n"/>
      <c r="F63" s="37" t="n"/>
      <c r="G63" s="37" t="n"/>
    </row>
    <row r="64">
      <c r="A64" s="13" t="inlineStr">
        <is>
          <t>05.01.01</t>
        </is>
      </c>
      <c r="B64" s="4" t="inlineStr">
        <is>
          <t>Bot en demo, solo y con guardias automáticos</t>
        </is>
      </c>
      <c r="C64" s="4" t="inlineStr">
        <is>
          <t>Constructores</t>
        </is>
      </c>
      <c r="D64" s="4" t="inlineStr">
        <is>
          <t>04.04.03</t>
        </is>
      </c>
      <c r="E64" s="4" t="inlineStr">
        <is>
          <t>Pendiente</t>
        </is>
      </c>
      <c r="F64" s="4" t="inlineStr">
        <is>
          <t>REQUISITO AÑADIDO POR D-14 (01/08): el guardia de parada dura (-30% del capital inicial) lo aplica el BOT de forma CONTINUA, no una revision periodica; comprobado solo una vez al mes, un -30% puede ser un -45% cuando alguien mire. Se verifica por inyeccion antes de declararlo activo (regla 25 de CLAUDE.md).</t>
        </is>
      </c>
      <c r="G64" s="4" t="inlineStr"/>
    </row>
    <row r="65">
      <c r="A65" s="13" t="inlineStr">
        <is>
          <t>05.01.02</t>
        </is>
      </c>
      <c r="B65" s="4" t="inlineStr">
        <is>
          <t>Seguimiento semanal real vs. prometido (8-12 semanas)</t>
        </is>
      </c>
      <c r="C65" s="4" t="inlineStr">
        <is>
          <t>Secretario</t>
        </is>
      </c>
      <c r="D65" s="4" t="inlineStr">
        <is>
          <t>05.01.01</t>
        </is>
      </c>
      <c r="E65" s="4" t="inlineStr">
        <is>
          <t>Pendiente</t>
        </is>
      </c>
      <c r="F65" s="4" t="inlineStr"/>
      <c r="G65" s="4" t="inlineStr"/>
    </row>
    <row r="66">
      <c r="A66" s="13" t="inlineStr">
        <is>
          <t>05.01.03</t>
        </is>
      </c>
      <c r="B66" s="4" t="inlineStr">
        <is>
          <t>PUERTA G3: CEO decide dinero, cuánto y pérdida máxima</t>
        </is>
      </c>
      <c r="C66" s="28" t="inlineStr">
        <is>
          <t>CEO</t>
        </is>
      </c>
      <c r="D66" s="4" t="inlineStr">
        <is>
          <t>05.01.02</t>
        </is>
      </c>
      <c r="E66" s="4" t="inlineStr">
        <is>
          <t>Pendiente</t>
        </is>
      </c>
      <c r="F66" s="4" t="inlineStr"/>
      <c r="G66" s="4" t="inlineStr"/>
    </row>
    <row r="67" ht="20" customHeight="1">
      <c r="A67" s="36" t="inlineStr">
        <is>
          <t>06</t>
        </is>
      </c>
      <c r="B67" s="37" t="inlineStr">
        <is>
          <t>REAL (PUERTA G4) — SE DETALLA AL CERRAR G3</t>
        </is>
      </c>
      <c r="C67" s="37" t="n"/>
      <c r="D67" s="37" t="n"/>
      <c r="E67" s="37" t="n"/>
      <c r="F67" s="37" t="n"/>
      <c r="G67" s="37" t="n"/>
    </row>
    <row r="68">
      <c r="A68" s="13" t="inlineStr">
        <is>
          <t>06.01.01</t>
        </is>
      </c>
      <c r="B68" s="4" t="inlineStr">
        <is>
          <t>Dinero pequeño respetando los límites de 01.01.03</t>
        </is>
      </c>
      <c r="C68" s="4" t="inlineStr">
        <is>
          <t>Constructores</t>
        </is>
      </c>
      <c r="D68" s="4" t="inlineStr">
        <is>
          <t>05.01.03</t>
        </is>
      </c>
      <c r="E68" s="4" t="inlineStr">
        <is>
          <t>Pendiente</t>
        </is>
      </c>
      <c r="F68" s="4" t="inlineStr">
        <is>
          <t>limites ya escritos y firmados (D-14, 01/08): capital 1.000-2.000 €, AVISO a -25% del capital inicial que no para nada, PARADA DURA AUTOMATICA a -30% aplicada por el bot de forma continua y sin exencion activable desde dentro (regla 26 de CLAUDE.md).</t>
        </is>
      </c>
      <c r="G68" s="4" t="inlineStr"/>
    </row>
    <row r="69">
      <c r="A69" s="13" t="inlineStr">
        <is>
          <t>06.01.02</t>
        </is>
      </c>
      <c r="B69" s="4" t="inlineStr">
        <is>
          <t>PUERTA G4 mensual: seguir, ampliar o parar. Si pierde más de lo escrito, se para sin discusión</t>
        </is>
      </c>
      <c r="C69" s="28" t="inlineStr">
        <is>
          <t>CEO</t>
        </is>
      </c>
      <c r="D69" s="4" t="inlineStr">
        <is>
          <t>06.01.01</t>
        </is>
      </c>
      <c r="E69" s="4" t="inlineStr">
        <is>
          <t>Pendiente</t>
        </is>
      </c>
      <c r="F69" s="4" t="inlineStr"/>
      <c r="G69" s="4" t="inlineStr"/>
    </row>
    <row r="70" ht="20" customHeight="1">
      <c r="A70" s="36" t="inlineStr">
        <is>
          <t>07</t>
        </is>
      </c>
      <c r="B70" s="37" t="inlineStr">
        <is>
          <t>MOTOR Y ORDEN (PARALELA; MÁX. 20% DEL ESFUERZO SEMANAL)</t>
        </is>
      </c>
      <c r="C70" s="37" t="n"/>
      <c r="D70" s="37" t="n"/>
      <c r="E70" s="37" t="n"/>
      <c r="F70" s="37" t="n"/>
      <c r="G70" s="37" t="n"/>
    </row>
    <row r="71">
      <c r="A71" s="13" t="inlineStr">
        <is>
          <t>07.01.01</t>
        </is>
      </c>
      <c r="B71" s="4" t="inlineStr">
        <is>
          <t>Carpetas y documentos en orden; una fuente de verdad por tema; lo sustituido se borra</t>
        </is>
      </c>
      <c r="C71" s="4" t="inlineStr">
        <is>
          <t>Constructores</t>
        </is>
      </c>
      <c r="D71" s="4" t="inlineStr">
        <is>
          <t>03.01.01</t>
        </is>
      </c>
      <c r="E71" s="4" t="inlineStr">
        <is>
          <t>Pendiente</t>
        </is>
      </c>
      <c r="F71" s="4" t="inlineStr"/>
      <c r="G71" s="4" t="inlineStr">
        <is>
          <t>FICHA (02/08): ALCANCE — cuatro arreglos de documento, NINGUNO toca código: (a) Las celdas ESTADO de 01.02.04 y 03.01.12 declaran en negrita un estado del vocabulario pendiente / en_curso / hecha / bloqueada, como exige la sección «Estados y cadencia de este WBS». Valores ya decididos por el orquestador, no se deducen: 01.02.04 pasa a en_curso (entregado INFORME_MCP_2.md, RECHAZADO por critico-codigo, sin reparar); 03.01.12 pasa a pendiente (nadie la ha trabajado). En 01.02.04 la marca actual […] texto completo en 00-direccion/WBS.md</t>
        </is>
      </c>
    </row>
    <row r="72">
      <c r="A72" s="13" t="inlineStr">
        <is>
          <t>07.01.03</t>
        </is>
      </c>
      <c r="B72" s="4" t="inlineStr">
        <is>
          <t>NUEVA 03/08 (incidente de proceso): auditar todo lo escrito el 03/08/2026 entre las 21:44 y las 21:58 sin flujo de cuatro capas, y el residuo sin commitear del tramo anterior</t>
        </is>
      </c>
      <c r="C72" s="4" t="inlineStr">
        <is>
          <t>Orquestador</t>
        </is>
      </c>
      <c r="D72" s="4" t="inlineStr">
        <is>
          <t>—</t>
        </is>
      </c>
      <c r="E72" s="4" t="inlineStr">
        <is>
          <t>En curso</t>
        </is>
      </c>
      <c r="F72" s="4" t="inlineStr"/>
      <c r="G72" s="4" t="inlineStr">
        <is>
          <t>FICHA (03/08, dictada por el orquestador): Qué pasó, medido y no supuesto: tras un /compact a las 21:29, la sesión recibió una orden del CEO a las 21:44 y trabajó sola hasta las 21:58 sin invocar a un solo subagente. Escribió D-19, D-20 y D-21 en un registro de solo-añadir, L-024 a L-027, cirugía estructural sobre el WBS, y dos scripts del Excel del CEO. Nadie lo revisó (regla 16 de CLAUDE.md y C2 rotas). Alcance: tres lotes con veredicto propio — (d) procedencia del motor de backtest, (b y c) […] texto completo en 00-direccion/WBS.md</t>
        </is>
      </c>
    </row>
    <row r="73">
      <c r="A73" s="13" t="inlineStr">
        <is>
          <t>07.01.02</t>
        </is>
      </c>
      <c r="B73" s="4" t="inlineStr">
        <is>
          <t>Mejoras del motor: SOLO tareas aprobadas en revisión semanal (el motor no manda)</t>
        </is>
      </c>
      <c r="C73" s="4" t="inlineStr">
        <is>
          <t>Constructores</t>
        </is>
      </c>
      <c r="D73" s="4" t="inlineStr">
        <is>
          <t>03.01.02</t>
        </is>
      </c>
      <c r="E73" s="4" t="inlineStr">
        <is>
          <t>Pendiente</t>
        </is>
      </c>
      <c r="F73" s="4" t="inlineStr"/>
      <c r="G73" s="4" t="inlineStr"/>
    </row>
  </sheetData>
  <autoFilter ref="A4:G73"/>
  <mergeCells count="2">
    <mergeCell ref="A2:G2"/>
    <mergeCell ref="A1:G1"/>
  </mergeCells>
  <conditionalFormatting sqref="E5:E73">
    <cfRule type="cellIs" priority="1" operator="equal" dxfId="0">
      <formula>"Hecha"</formula>
    </cfRule>
    <cfRule type="cellIs" priority="2" operator="equal" dxfId="1">
      <formula>"En curso"</formula>
    </cfRule>
    <cfRule type="cellIs" priority="3" operator="equal" dxfId="2">
      <formula>"Bloqueada"</formula>
    </cfRule>
  </conditionalFormatting>
  <dataValidations count="1">
    <dataValidation sqref="E5:E73" showDropDown="0" showInputMessage="0" showErrorMessage="0" allowBlank="1" type="list">
      <formula1>"Pendiente,En curso,Hecha,Bloqueada"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46" customWidth="1" min="3" max="3"/>
    <col width="40" customWidth="1" min="4" max="4"/>
    <col width="30" customWidth="1" min="5" max="5"/>
  </cols>
  <sheetData>
    <row r="1" ht="24" customHeight="1">
      <c r="A1" s="1" t="inlineStr">
        <is>
          <t>CALENDARIO — 29 julio a 1 septiembre de 2026</t>
        </is>
      </c>
      <c r="B1" s="2" t="n"/>
      <c r="C1" s="2" t="n"/>
      <c r="D1" s="2" t="n"/>
      <c r="E1" s="2" t="n"/>
    </row>
    <row r="2">
      <c r="A2" s="21" t="inlineStr">
        <is>
          <t>Objetivo del mes: NO es tener el bot en demo. Es llegar al 1 de septiembre con respuesta a "¿existe alguna estrategia que merezca pasar a demo?". Holgura de calendario: cero. G1 se cierra 04-05/08; broker se firma 10/08 (NO RETORNO). Nota crítica: 04.03.03 (prueba OOS) es una sola pasada por variante sobre el cajón reservado — no se puede repetir ni acelerar.</t>
        </is>
      </c>
      <c r="B2" s="22" t="n"/>
      <c r="C2" s="22" t="n"/>
      <c r="D2" s="22" t="n"/>
      <c r="E2" s="22" t="n"/>
    </row>
    <row r="4" ht="28" customHeight="1">
      <c r="A4" s="3" t="inlineStr">
        <is>
          <t>Período</t>
        </is>
      </c>
      <c r="B4" s="3" t="inlineStr">
        <is>
          <t>Fechas</t>
        </is>
      </c>
      <c r="C4" s="3" t="inlineStr">
        <is>
          <t>Tareas</t>
        </is>
      </c>
      <c r="D4" s="3" t="inlineStr">
        <is>
          <t>Qué se hace</t>
        </is>
      </c>
      <c r="E4" s="3" t="inlineStr">
        <is>
          <t>Fin previsto</t>
        </is>
      </c>
      <c r="F4" s="3" t="inlineStr">
        <is>
          <t>Checkpoint</t>
        </is>
      </c>
    </row>
    <row r="5">
      <c r="A5" s="4" t="inlineStr">
        <is>
          <t>S1</t>
        </is>
      </c>
      <c r="B5" s="4" t="inlineStr">
        <is>
          <t>03 – 05 ago</t>
        </is>
      </c>
      <c r="C5" s="4" t="inlineStr">
        <is>
          <t>02.03.02, 02.03.03</t>
        </is>
      </c>
      <c r="D5" s="4" t="inlineStr">
        <is>
          <t>Informe de G1 + puerta (el CEO elige mercados)</t>
        </is>
      </c>
      <c r="E5" s="4" t="inlineStr">
        <is>
          <t>Mercados y vela</t>
        </is>
      </c>
      <c r="F5" s="4" t="inlineStr">
        <is>
          <t>Mié 4-Jue 5: decisión del CEO</t>
        </is>
      </c>
    </row>
    <row r="6">
      <c r="A6" s="4" t="inlineStr">
        <is>
          <t>S2</t>
        </is>
      </c>
      <c r="B6" s="4" t="inlineStr">
        <is>
          <t>06 – 10 ago</t>
        </is>
      </c>
      <c r="C6" s="4" t="inlineStr">
        <is>
          <t>04.01.01</t>
        </is>
      </c>
      <c r="D6" s="4" t="inlineStr">
        <is>
          <t>Elegir broker, abrir demo</t>
        </is>
      </c>
      <c r="E6" s="4" t="inlineStr">
        <is>
          <t>Broker firmado</t>
        </is>
      </c>
      <c r="F6" s="4" t="inlineStr">
        <is>
          <t>Viernes 10 ago: NO RETORNO</t>
        </is>
      </c>
    </row>
    <row r="7">
      <c r="A7" s="4" t="inlineStr">
        <is>
          <t>S3</t>
        </is>
      </c>
      <c r="B7" s="4" t="inlineStr">
        <is>
          <t>11 – 14 ago</t>
        </is>
      </c>
      <c r="C7" s="4" t="inlineStr">
        <is>
          <t>04.01.02, 04.01.03</t>
        </is>
      </c>
      <c r="D7" s="4" t="inlineStr">
        <is>
          <t>Costes reales del broker + tres cajones (train, validación, OOS)</t>
        </is>
      </c>
      <c r="E7" s="4" t="inlineStr">
        <is>
          <t>Cajones listos</t>
        </is>
      </c>
      <c r="F7" s="4" t="inlineStr">
        <is>
          <t>Lun 12-Jue 14: preparando OOS</t>
        </is>
      </c>
    </row>
    <row r="8">
      <c r="A8" s="4" t="inlineStr">
        <is>
          <t>S4</t>
        </is>
      </c>
      <c r="B8" s="4" t="inlineStr">
        <is>
          <t>15 – 20 ago</t>
        </is>
      </c>
      <c r="C8" s="4" t="inlineStr">
        <is>
          <t>04.02.01 a 04.02.04</t>
        </is>
      </c>
      <c r="D8" s="4" t="inlineStr">
        <is>
          <t>Barrido de hipótesis + filtro de sentido + pre-registro de variantes</t>
        </is>
      </c>
      <c r="E8" s="4" t="inlineStr">
        <is>
          <t>3-5 hipótesis con variantes registradas</t>
        </is>
      </c>
      <c r="F8" s="4" t="inlineStr">
        <is>
          <t>Lun 19-Jue 20: qué entra al backtest</t>
        </is>
      </c>
    </row>
    <row r="9">
      <c r="A9" s="4" t="inlineStr">
        <is>
          <t>S5</t>
        </is>
      </c>
      <c r="B9" s="4" t="inlineStr">
        <is>
          <t>21 – 25 ago</t>
        </is>
      </c>
      <c r="C9" s="4" t="inlineStr">
        <is>
          <t>04.03.01, 04.03.02</t>
        </is>
      </c>
      <c r="D9" s="4" t="inlineStr">
        <is>
          <t>Backtest sobre train + ajuste sobre validación</t>
        </is>
      </c>
      <c r="E9" s="4" t="inlineStr">
        <is>
          <t>Variantes supervivientes tras ajuste</t>
        </is>
      </c>
      <c r="F9" s="4" t="inlineStr">
        <is>
          <t>Lun 24-Jue 25: cuántas avanzan</t>
        </is>
      </c>
    </row>
    <row r="10">
      <c r="A10" s="4" t="inlineStr">
        <is>
          <t>S6</t>
        </is>
      </c>
      <c r="B10" s="4" t="inlineStr">
        <is>
          <t>26 – 30 ago</t>
        </is>
      </c>
      <c r="C10" s="4" t="inlineStr">
        <is>
          <t>04.03.03 a 04.03.05</t>
        </is>
      </c>
      <c r="D10" s="4" t="inlineStr">
        <is>
          <t>OOS sobre cajón reservado (UNA sola pasada) + Monte Carlo + walk-forward + veredicto</t>
        </is>
      </c>
      <c r="E10" s="4" t="inlineStr">
        <is>
          <t>Veredicto pasa/no pasa por variante</t>
        </is>
      </c>
      <c r="F10" s="4" t="inlineStr">
        <is>
          <t>Lun 26: OOS listo (irreversible)</t>
        </is>
      </c>
    </row>
    <row r="11">
      <c r="A11" s="4" t="inlineStr">
        <is>
          <t>S7</t>
        </is>
      </c>
      <c r="B11" s="4" t="inlineStr">
        <is>
          <t>31 ago</t>
        </is>
      </c>
      <c r="C11" s="4" t="inlineStr">
        <is>
          <t>04.04.01</t>
        </is>
      </c>
      <c r="D11" s="4" t="inlineStr">
        <is>
          <t>Informe de la vuelta</t>
        </is>
      </c>
      <c r="E11" s="4" t="inlineStr">
        <is>
          <t>Informe guardado, métricas listas</t>
        </is>
      </c>
      <c r="F11" s="4" t="inlineStr">
        <is>
          <t>Lun 31: preparar GM</t>
        </is>
      </c>
    </row>
    <row r="12">
      <c r="A12" s="25" t="inlineStr">
        <is>
          <t>GM</t>
        </is>
      </c>
      <c r="B12" s="25" t="inlineStr">
        <is>
          <t>1 sept</t>
        </is>
      </c>
      <c r="C12" s="25" t="inlineStr">
        <is>
          <t>—</t>
        </is>
      </c>
      <c r="D12" s="25" t="inlineStr">
        <is>
          <t>Puerta del mes: arrancar demo / otra vuelta / replantear / PARAR</t>
        </is>
      </c>
      <c r="E12" s="25" t="inlineStr">
        <is>
          <t>Decisión del CEO</t>
        </is>
      </c>
      <c r="F12" s="4" t="inlineStr">
        <is>
          <t>Mar 1: reunión presencial</t>
        </is>
      </c>
    </row>
    <row r="13">
      <c r="A13" s="4" t="inlineStr">
        <is>
          <t>Nota</t>
        </is>
      </c>
      <c r="B13" s="4" t="inlineStr">
        <is>
          <t>07 ago</t>
        </is>
      </c>
      <c r="C13" s="4" t="inlineStr">
        <is>
          <t>03.01.05</t>
        </is>
      </c>
      <c r="D13" s="4" t="inlineStr">
        <is>
          <t>Fin bloque de motor: Fase 03 (03.01.02 a 03.01.06) lista en 24 h continuas de trabajo desatendido</t>
        </is>
      </c>
      <c r="E13" s="4" t="inlineStr">
        <is>
          <t>Motor probado</t>
        </is>
      </c>
      <c r="F13" s="4" t="inlineStr">
        <is>
          <t>—</t>
        </is>
      </c>
    </row>
    <row r="15" ht="46" customHeight="1">
      <c r="A15" s="35" t="inlineStr">
        <is>
          <t>Lo que NO cabe en el mes: la demo (8-12 semanas de mercado real, reloj no acelerable) · más de una vuelta del bucle (cabe una) · el dinero real.</t>
        </is>
      </c>
    </row>
  </sheetData>
  <mergeCells count="3">
    <mergeCell ref="A2:E2"/>
    <mergeCell ref="A15:E15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118" customWidth="1" min="2" max="2"/>
  </cols>
  <sheetData>
    <row r="1" ht="24" customHeight="1">
      <c r="A1" s="1" t="inlineStr">
        <is>
          <t>PUERTAS — donde decide el CEO</t>
        </is>
      </c>
      <c r="B1" s="2" t="n"/>
    </row>
    <row r="2">
      <c r="A2" s="21" t="inlineStr">
        <is>
          <t>Criterios tal y como estan escritos en WBS.md (G1 corregida el 30/07/2026).</t>
        </is>
      </c>
      <c r="B2" s="22" t="n"/>
    </row>
    <row r="4" ht="28" customHeight="1">
      <c r="A4" s="3" t="inlineStr">
        <is>
          <t>PUERTA</t>
        </is>
      </c>
      <c r="B4" s="3" t="inlineStr">
        <is>
          <t>QUE SE DECIDE Y CON QUE CRITERIO</t>
        </is>
      </c>
    </row>
    <row r="5">
      <c r="A5" s="40" t="inlineStr">
        <is>
          <t>G0</t>
        </is>
      </c>
      <c r="B5" s="4" t="inlineStr">
        <is>
          <t>(en curso): CEO aprueba plan, criterios y límites (01.01.01–03).</t>
        </is>
      </c>
    </row>
    <row r="6">
      <c r="A6" s="40" t="inlineStr">
        <is>
          <t>G1</t>
        </is>
      </c>
      <c r="B6" s="4" t="inlineStr">
        <is>
          <t>(CRITERIOS APROBADOS 01/08/2026, D-11): siete criterios numerados</t>
        </is>
      </c>
    </row>
    <row r="7">
      <c r="A7" s="40" t="inlineStr">
        <is>
          <t>G2</t>
        </is>
      </c>
      <c r="B7" s="4" t="inlineStr">
        <is>
          <t>solo pasan variantes que ganan después de costes en OOS, aguantan Monte Carlo y estaban pre-registradas. Veredicto del Validador.</t>
        </is>
      </c>
    </row>
    <row r="8">
      <c r="A8" s="40" t="inlineStr">
        <is>
          <t>G3</t>
        </is>
      </c>
      <c r="B8" s="4" t="inlineStr">
        <is>
          <t>demo de 8-12 semanas parecida a lo prometido; CEO fija dinero y pérdida máxima.</t>
        </is>
      </c>
    </row>
    <row r="9">
      <c r="A9" s="40" t="inlineStr">
        <is>
          <t>G4</t>
        </is>
      </c>
      <c r="B9" s="4" t="inlineStr">
        <is>
          <t>(mensual): si toca la parada dura de -30% del capital inicial (D-14), se para sin discusión. El aviso de -25% NO para: se reporta y decide el CEO. La parada la aplica el bot de forma continua, no esta revisión mensual.</t>
        </is>
      </c>
    </row>
    <row r="10">
      <c r="A10" s="40" t="inlineStr">
        <is>
          <t>GM</t>
        </is>
      </c>
      <c r="B10" s="4" t="inlineStr">
        <is>
          <t>(1 de septiembre de 2026): puerta de evaluación del primer mes. Decisión: arrancar demo, dar otra vuelta al bucle, replantear o PARAR (cuarta salida añadida en D-12). Es la primera de las revisiones mensuales de avance; las siguientes, 01/10 y 01/11.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8" customWidth="1" min="3" max="3"/>
    <col width="16" customWidth="1" min="4" max="4"/>
    <col width="18" customWidth="1" min="5" max="5"/>
  </cols>
  <sheetData>
    <row r="1" ht="24" customHeight="1">
      <c r="A1" s="1" t="inlineStr">
        <is>
          <t>EQUIPO DE AGENTES — un modelo por puesto</t>
        </is>
      </c>
      <c r="B1" s="2" t="n"/>
      <c r="C1" s="2" t="n"/>
      <c r="D1" s="2" t="n"/>
      <c r="E1" s="2" t="n"/>
    </row>
    <row r="2">
      <c r="A2" s="21" t="inlineStr">
        <is>
          <t>Regla 29: identificador exacto del modelo, nunca un alias, y ningun agente sin modelo.</t>
        </is>
      </c>
      <c r="B2" s="22" t="n"/>
      <c r="C2" s="22" t="n"/>
      <c r="D2" s="22" t="n"/>
      <c r="E2" s="22" t="n"/>
    </row>
    <row r="4" ht="28" customHeight="1">
      <c r="A4" s="3" t="inlineStr">
        <is>
          <t>Agente</t>
        </is>
      </c>
      <c r="B4" s="3" t="inlineStr">
        <is>
          <t>Qué hace</t>
        </is>
      </c>
      <c r="C4" s="3" t="inlineStr">
        <is>
          <t>Qué NO puede hacer</t>
        </is>
      </c>
      <c r="D4" s="3" t="inlineStr">
        <is>
          <t>Modelo</t>
        </is>
      </c>
      <c r="E4" s="3" t="inlineStr">
        <is>
          <t>Respaldo</t>
        </is>
      </c>
    </row>
    <row r="5">
      <c r="A5" s="4" t="inlineStr">
        <is>
          <t>Orquestador</t>
        </is>
      </c>
      <c r="B5" s="4" t="inlineStr">
        <is>
          <t>Reparte tareas por código, cierra contra criterio de hecho, escala excepciones al CEO</t>
        </is>
      </c>
      <c r="C5" s="4" t="inlineStr">
        <is>
          <t>Construir; validar su propio reparto</t>
        </is>
      </c>
      <c r="D5" s="4" t="inlineStr">
        <is>
          <t>Opus 5</t>
        </is>
      </c>
      <c r="E5" s="4" t="inlineStr">
        <is>
          <t>Sonnet 5</t>
        </is>
      </c>
    </row>
    <row r="6">
      <c r="A6" s="4" t="inlineStr">
        <is>
          <t>Investigador</t>
        </is>
      </c>
      <c r="B6" s="4" t="inlineStr">
        <is>
          <t>Barre fuentes (papers, libros, foros, GitHub, X); fichas de hipótesis</t>
        </is>
      </c>
      <c r="C6" s="4" t="inlineStr">
        <is>
          <t>Elegir sus propias fichas; tocar código o datos</t>
        </is>
      </c>
      <c r="D6" s="4" t="inlineStr">
        <is>
          <t>Sonnet 5</t>
        </is>
      </c>
      <c r="E6" s="4" t="inlineStr">
        <is>
          <t>Haiku 4.5</t>
        </is>
      </c>
    </row>
    <row r="7">
      <c r="A7" s="4" t="inlineStr">
        <is>
          <t>Constructor de datos</t>
        </is>
      </c>
      <c r="B7" s="4" t="inlineStr">
        <is>
          <t>Históricos, limpieza, los 3 cajones, costes reales</t>
        </is>
      </c>
      <c r="C7" s="4" t="inlineStr">
        <is>
          <t>Abrir el cajón reservado (OOS)</t>
        </is>
      </c>
      <c r="D7" s="4" t="inlineStr">
        <is>
          <t>Sonnet 5</t>
        </is>
      </c>
      <c r="E7" s="4" t="inlineStr">
        <is>
          <t>Haiku 4.5</t>
        </is>
      </c>
    </row>
    <row r="8">
      <c r="A8" s="4" t="inlineStr">
        <is>
          <t>Constructor de motor/bot</t>
        </is>
      </c>
      <c r="B8" s="4" t="inlineStr">
        <is>
          <t>Backtester, bot, ejecución desatendida</t>
        </is>
      </c>
      <c r="C8" s="4" t="inlineStr">
        <is>
          <t>Validar sus backtests; tocar el cajón reservado</t>
        </is>
      </c>
      <c r="D8" s="4" t="inlineStr">
        <is>
          <t>Sonnet 5</t>
        </is>
      </c>
      <c r="E8" s="4" t="inlineStr">
        <is>
          <t>Opus 5 tras 2 atascos</t>
        </is>
      </c>
    </row>
    <row r="9">
      <c r="A9" s="4" t="inlineStr">
        <is>
          <t>Crítico de código</t>
        </is>
      </c>
      <c r="B9" s="4" t="inlineStr">
        <is>
          <t>Revisa código ajeno; analiza gb2 (01.02.01)</t>
        </is>
      </c>
      <c r="C9" s="4" t="inlineStr">
        <is>
          <t>Revisar código propio</t>
        </is>
      </c>
      <c r="D9" s="4" t="inlineStr">
        <is>
          <t>Sonnet 5 (Opus 5 en código que toca dinero real)</t>
        </is>
      </c>
      <c r="E9" s="4" t="inlineStr">
        <is>
          <t>Sonnet 5</t>
        </is>
      </c>
    </row>
    <row r="10">
      <c r="A10" s="4" t="inlineStr">
        <is>
          <t>Validador de estrategias</t>
        </is>
      </c>
      <c r="B10" s="4" t="inlineStr">
        <is>
          <t>Filtro de sentido, prueba OOS, Monte Carlo, veredictos pasa/no pasa</t>
        </is>
      </c>
      <c r="C10" s="4" t="inlineStr">
        <is>
          <t>Construir estrategias; suavizar veredictos</t>
        </is>
      </c>
      <c r="D10" s="4" t="inlineStr">
        <is>
          <t>Fable 5</t>
        </is>
      </c>
      <c r="E10" s="4" t="inlineStr">
        <is>
          <t>Opus 5</t>
        </is>
      </c>
    </row>
    <row r="11">
      <c r="A11" s="4" t="inlineStr">
        <is>
          <t>Arquitecto (puntual)</t>
        </is>
      </c>
      <c r="B11" s="4" t="inlineStr">
        <is>
          <t>Diseña el motor al arrancar Fase 03; revisa el planteamiento si el bucle falla 3 veces</t>
        </is>
      </c>
      <c r="C11" s="4" t="inlineStr">
        <is>
          <t>Trabajo del día a día</t>
        </is>
      </c>
      <c r="D11" s="4" t="inlineStr">
        <is>
          <t>Fable 5</t>
        </is>
      </c>
      <c r="E11" s="4" t="inlineStr">
        <is>
          <t>Opus 5</t>
        </is>
      </c>
    </row>
    <row r="12">
      <c r="A12" s="4" t="inlineStr">
        <is>
          <t>Secretario</t>
        </is>
      </c>
      <c r="B12" s="4" t="inlineStr">
        <is>
          <t>Informes, WBS, DECISIONES.md, LECCIONES.md, registro de pruebas</t>
        </is>
      </c>
      <c r="C12" s="4" t="inlineStr">
        <is>
          <t>Decidir</t>
        </is>
      </c>
      <c r="D12" s="4" t="inlineStr">
        <is>
          <t>Haiku 4.5</t>
        </is>
      </c>
      <c r="E12" s="4" t="inlineStr">
        <is>
          <t>Sonnet 5</t>
        </is>
      </c>
    </row>
    <row r="14" ht="46" customHeight="1">
      <c r="A14" s="35" t="inlineStr">
        <is>
          <t>Precios oficiales por millón de tokens (platform.claude.com, consultado 29/07/2026): Fable 5 (claude-fable-5) 10 $/50 $ · Opus 5 (claude-opus-5) 5 $/25 $ · Sonnet 5 (claude-sonnet-5) 3 $/15 $, con 2 $/10 $ hasta el 31/08/2026 · Haiku 4.5 (claude-haiku-4-5-20251001) 1 $/5 $. Contexto de 1M tokens salvo Haiku (200k).</t>
        </is>
      </c>
    </row>
    <row r="16" ht="46" customHeight="1">
      <c r="A16" s="35" t="inlineStr">
        <is>
          <t>Aviso Fable 5: estuvo suspendido en junio de 2026 por controles de exportación y volvió el 1 de julio; además puede rechazar peticiones por sus filtros. Respaldo obligatorio (tarea 03.01.04).</t>
        </is>
      </c>
    </row>
  </sheetData>
  <mergeCells count="4">
    <mergeCell ref="A2:E2"/>
    <mergeCell ref="A16:E16"/>
    <mergeCell ref="A1:E1"/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6" customWidth="1" min="1" max="1"/>
    <col width="130" customWidth="1" min="2" max="2"/>
  </cols>
  <sheetData>
    <row r="1" ht="24" customHeight="1">
      <c r="A1" s="1" t="inlineStr">
        <is>
          <t>LAS 29 REGLAS — mandan sobre cualquier otra instruccion</t>
        </is>
      </c>
      <c r="B1" s="2" t="n"/>
    </row>
    <row r="3" ht="28" customHeight="1">
      <c r="A3" s="3" t="inlineStr">
        <is>
          <t>Nº</t>
        </is>
      </c>
      <c r="B3" s="3" t="inlineStr">
        <is>
          <t>REGLA</t>
        </is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13" customWidth="1" min="1" max="1"/>
    <col width="70" customWidth="1" min="2" max="2"/>
    <col width="60" customWidth="1" min="3" max="3"/>
  </cols>
  <sheetData>
    <row r="1" ht="24" customHeight="1">
      <c r="A1" s="1" t="inlineStr">
        <is>
          <t>REGISTRO DE DECISIONES — solo se añade, nunca se reescribe (regla 21)</t>
        </is>
      </c>
      <c r="B1" s="2" t="n"/>
      <c r="C1" s="2" t="n"/>
    </row>
    <row r="3" ht="28" customHeight="1">
      <c r="A3" s="3" t="inlineStr">
        <is>
          <t>Fecha</t>
        </is>
      </c>
      <c r="B3" s="3" t="inlineStr">
        <is>
          <t>Decisión</t>
        </is>
      </c>
      <c r="C3" s="3" t="inlineStr">
        <is>
          <t>Motivo</t>
        </is>
      </c>
    </row>
    <row r="4">
      <c r="A4" s="4" t="inlineStr">
        <is>
          <t>2026-07-29</t>
        </is>
      </c>
      <c r="B4" s="4" t="inlineStr">
        <is>
          <t>Producto antes que motor; motor máx. 20% en paralelo</t>
        </is>
      </c>
      <c r="C4" s="4" t="inlineStr">
        <is>
          <t>Evitar la deriva de gb2</t>
        </is>
      </c>
    </row>
    <row r="5">
      <c r="A5" s="4" t="inlineStr">
        <is>
          <t>2026-07-29</t>
        </is>
      </c>
      <c r="B5" s="4" t="inlineStr">
        <is>
          <t>Portafolio 3-5 mercados poco correlacionados</t>
        </is>
      </c>
      <c r="C5" s="4" t="inlineStr">
        <is>
          <t>Riesgo repartido + muestra</t>
        </is>
      </c>
    </row>
    <row r="6">
      <c r="A6" s="4" t="inlineStr">
        <is>
          <t>2026-07-29</t>
        </is>
      </c>
      <c r="B6" s="4" t="inlineStr">
        <is>
          <t>Mercado y vela se deciden en G1 con datos</t>
        </is>
      </c>
      <c r="C6" s="4" t="inlineStr">
        <is>
          <t>Evitar corazonadas</t>
        </is>
      </c>
    </row>
    <row r="7">
      <c r="A7" s="4" t="inlineStr">
        <is>
          <t>2026-07-29</t>
        </is>
      </c>
      <c r="B7" s="4" t="inlineStr">
        <is>
          <t>CEO: revisión semanal + puertas, sin firmas por tarea</t>
        </is>
      </c>
      <c r="C7" s="4" t="inlineStr">
        <is>
          <t>Dirección por excepción</t>
        </is>
      </c>
    </row>
    <row r="8">
      <c r="A8" s="4" t="inlineStr">
        <is>
          <t>2026-07-29</t>
        </is>
      </c>
      <c r="B8" s="4" t="inlineStr">
        <is>
          <t>Broker después de G1; costes provisionales mientras</t>
        </is>
      </c>
      <c r="C8" s="4" t="inlineStr">
        <is>
          <t>Búsqueda enfocada</t>
        </is>
      </c>
    </row>
    <row r="9">
      <c r="A9" s="4" t="inlineStr">
        <is>
          <t>2026-07-29</t>
        </is>
      </c>
      <c r="B9" s="4" t="inlineStr">
        <is>
          <t>WBS texto = fuente de verdad; Excel = vista del CEO</t>
        </is>
      </c>
      <c r="C9" s="4" t="inlineStr">
        <is>
          <t>Agentes leen texto</t>
        </is>
      </c>
    </row>
    <row r="10">
      <c r="A10" s="4" t="inlineStr">
        <is>
          <t>2026-07-29</t>
        </is>
      </c>
      <c r="B10" s="4" t="inlineStr">
        <is>
          <t>Cada agente con su modelo según tarea (tabla Equipo); confirmar con análisis gb2</t>
        </is>
      </c>
      <c r="C10" s="4" t="inlineStr">
        <is>
          <t>Replicar lo bueno de gb2 con criterio</t>
        </is>
      </c>
    </row>
    <row r="11">
      <c r="A11" s="4" t="inlineStr">
        <is>
          <t>2026-07-29</t>
        </is>
      </c>
      <c r="B11" s="4" t="inlineStr">
        <is>
          <t>gb2 se analiza como información, no como copia (01.02.01)</t>
        </is>
      </c>
      <c r="C11" s="4" t="inlineStr">
        <is>
          <t>Lecciones sin contaminación</t>
        </is>
      </c>
    </row>
    <row r="12">
      <c r="A12" s="4" t="inlineStr">
        <is>
          <t>2026-07-29</t>
        </is>
      </c>
      <c r="B12" s="4" t="inlineStr">
        <is>
          <t>Validación: 3 cajones (train/validación/OOS) + Monte Carlo + walk-forward, con pre-registro de variantes (máx. 5-7) y registro de fallidas</t>
        </is>
      </c>
      <c r="C12" s="4" t="inlineStr">
        <is>
          <t>Cuantas más variantes, más fácil que una gane por suerte; esto lo controla</t>
        </is>
      </c>
    </row>
    <row r="13">
      <c r="A13" s="4" t="inlineStr">
        <is>
          <t>2026-07-29</t>
        </is>
      </c>
      <c r="B13" s="4" t="inlineStr">
        <is>
          <t>Bucle de investigación si nada pasa; a la 3ª vuelta sin éxito, revisión con el CEO</t>
        </is>
      </c>
      <c r="C13" s="4" t="inlineStr">
        <is>
          <t>Bucle sano, no infinito</t>
        </is>
      </c>
    </row>
    <row r="14">
      <c r="A14" s="4" t="inlineStr">
        <is>
          <t>2026-07-29</t>
        </is>
      </c>
      <c r="B14" s="4" t="inlineStr">
        <is>
          <t>Regla de no-ambigüedad: tarea que obliga a adivinar vuelve al orquestador</t>
        </is>
      </c>
      <c r="C14" s="4" t="inlineStr">
        <is>
          <t>La ambigüedad fue causa del caos en gb2</t>
        </is>
      </c>
    </row>
    <row r="15">
      <c r="A15" s="4" t="inlineStr">
        <is>
          <t>2026-07-29</t>
        </is>
      </c>
      <c r="B15" s="4" t="inlineStr">
        <is>
          <t>Restricción justificada: permisos amplios + git; restricciones solo tras incidente real, revisadas cada mes</t>
        </is>
      </c>
      <c r="C15" s="4" t="inlineStr">
        <is>
          <t>En gb2 se restringió de más sobre el papel y hubo que ir quitando</t>
        </is>
      </c>
    </row>
    <row r="16">
      <c r="A16" s="4" t="inlineStr">
        <is>
          <t>2026-07-29</t>
        </is>
      </c>
      <c r="B16" s="4" t="inlineStr">
        <is>
          <t>Modelos por puesto: Fable 5 en validación y arquitectura, Opus 5 en orquestación, Sonnet 5 en construcción e investigación, Haiku 4.5 en secretaría</t>
        </is>
      </c>
      <c r="C16" s="4" t="inlineStr">
        <is>
          <t>Fuentes oficiales consultadas 29/07/2026; el modelo caro solo donde un error cuesta dinero</t>
        </is>
      </c>
    </row>
    <row r="17">
      <c r="A17" s="4" t="inlineStr">
        <is>
          <t>2026-07-29</t>
        </is>
      </c>
      <c r="B17" s="4" t="inlineStr">
        <is>
          <t>Respaldo obligatorio para todo agente con Fable 5</t>
        </is>
      </c>
      <c r="C17" s="4" t="inlineStr">
        <is>
          <t>Fable 5 estuvo suspendido en junio de 2026 y puede rechazar peticiones</t>
        </is>
      </c>
    </row>
    <row r="18">
      <c r="A18" s="4" t="inlineStr">
        <is>
          <t>2026-07-29</t>
        </is>
      </c>
      <c r="B18" s="4" t="inlineStr">
        <is>
          <t>La Fase 03 no se cierra sin un día entero de trabajo desatendido real (03.01.05)</t>
        </is>
      </c>
      <c r="C18" s="4" t="inlineStr">
        <is>
          <t>Evitar el motor perfecto en papel de gb2</t>
        </is>
      </c>
    </row>
    <row r="19">
      <c r="A19" s="4" t="inlineStr">
        <is>
          <t>2026-07-29</t>
        </is>
      </c>
      <c r="B19" s="4" t="inlineStr">
        <is>
          <t>Escalado definido (sección Autonomía): el CEO solo interviene en puertas y excepciones</t>
        </is>
      </c>
      <c r="C19" s="4" t="inlineStr">
        <is>
          <t>El CEO no firma tareas</t>
        </is>
      </c>
    </row>
    <row r="20">
      <c r="A20" s="4" t="inlineStr">
        <is>
          <t>2026-07-29</t>
        </is>
      </c>
      <c r="B20" s="4" t="inlineStr">
        <is>
          <t>Formato obligatorio de ficha de decisión del CEO (sección «Qué llega al CEO y qué no» de CLAUDE.md + plantilla)</t>
        </is>
      </c>
      <c r="C20" s="4" t="inlineStr">
        <is>
          <t>Reducir al mínimo el tiempo del CEO: ni redactar, ni buscar, ni calcular</t>
        </is>
      </c>
    </row>
    <row r="21">
      <c r="A21" s="4" t="inlineStr">
        <is>
          <t>2026-07-29</t>
        </is>
      </c>
      <c r="B21" s="4" t="inlineStr">
        <is>
          <t>D1 resuelta: se fija AHORA qué se mide (misma vara para los 8) y se calibran los umbrales en G1 con los números delante</t>
        </is>
      </c>
      <c r="C21" s="4" t="inlineStr">
        <is>
          <t>El CEO no quiere cortes a ciegas; sin vara común, cada mercado se mediría distinto</t>
        </is>
      </c>
    </row>
    <row r="22">
      <c r="A22" s="4" t="inlineStr">
        <is>
          <t>2026-07-29</t>
        </is>
      </c>
      <c r="B22" s="4" t="inlineStr">
        <is>
          <t>Guardarraíles en dos niveles: reversible permisivo, irreversible con barrera desde el minuto uno</t>
        </is>
      </c>
      <c r="C22" s="4" t="inlineStr">
        <is>
          <t>Matiz de un vídeo analizado el 29/07</t>
        </is>
      </c>
    </row>
    <row r="23">
      <c r="A23" s="4" t="inlineStr">
        <is>
          <t>2026-07-29</t>
        </is>
      </c>
      <c r="B23" s="4" t="inlineStr">
        <is>
          <t>Cola de aprobación con Aprobado / Saltar / Corregir; toda corrección escrita va a LECCIONES.md</t>
        </is>
      </c>
      <c r="C23" s="4" t="inlineStr">
        <is>
          <t>El valor está en que la corrección quede guardada</t>
        </is>
      </c>
    </row>
    <row r="24">
      <c r="A24" s="4" t="inlineStr">
        <is>
          <t>2026-07-29</t>
        </is>
      </c>
      <c r="B24" s="4" t="inlineStr">
        <is>
          <t>02.02.01 pasa de "buscar ATR publicado" a "calcular ATR sobre precios reales"</t>
        </is>
      </c>
      <c r="C24" s="4" t="inlineStr">
        <is>
          <t>El dato no existe publicado; sí existen los precios (L-001)</t>
        </is>
      </c>
    </row>
    <row r="25">
      <c r="A25" s="4" t="inlineStr">
        <is>
          <t>2026-07-29</t>
        </is>
      </c>
      <c r="B25" s="4" t="inlineStr">
        <is>
          <t>Se añade el swap/financiación como segundo componente del coste (02.02.05 y criterio 1 de G1)</t>
        </is>
      </c>
      <c r="C25" s="4" t="inlineStr">
        <is>
          <t>En CFD de bitcoin la financiación (-22,5% anual) supera al spread si se mantiene la posición</t>
        </is>
      </c>
    </row>
    <row r="26">
      <c r="A26" s="4" t="inlineStr">
        <is>
          <t>2026-07-29</t>
        </is>
      </c>
      <c r="B26" s="4" t="inlineStr">
        <is>
          <t>El Excel se regenera solo los lunes y en las puertas; el WBS en texto, siempre</t>
        </is>
      </c>
      <c r="C26" s="4" t="inlineStr">
        <is>
          <t>Decisión del CEO: no necesita la vista cada vez</t>
        </is>
      </c>
    </row>
    <row r="27">
      <c r="A27" s="4" t="inlineStr">
        <is>
          <t>2026-07-30</t>
        </is>
      </c>
      <c r="B27" s="4" t="inlineStr">
        <is>
          <t>D6 = B. Repositorio nuevo con reglas y agentes desde cero; se trasplantan 5 piezas de gb2, una a una, cada una con criterio de aceptación probado aquí</t>
        </is>
      </c>
      <c r="C27" s="4" t="inlineStr">
        <is>
          <t>Decisión del CEO. Reescribir motor y datos se comería el mes sin acercar la respuesta</t>
        </is>
      </c>
    </row>
    <row r="28">
      <c r="A28" s="4" t="inlineStr">
        <is>
          <t>2026-07-30</t>
        </is>
      </c>
      <c r="B28" s="4" t="inlineStr">
        <is>
          <t>Jerarquía de la prueba: ejecución &gt; verificación documental &gt; contraste entre agentes. El consenso entre agentes no cierra nada</t>
        </is>
      </c>
      <c r="C28" s="4" t="inlineStr">
        <is>
          <t>Petición del CEO ("miedo a que una IA decida y no tenga razón") + evidencia de gb2</t>
        </is>
      </c>
    </row>
    <row r="29">
      <c r="A29" s="4" t="inlineStr">
        <is>
          <t>2026-07-30</t>
        </is>
      </c>
      <c r="B29" s="4" t="inlineStr">
        <is>
          <t>El análisis del catálogo awesome-claude-code es trabajo de motor: entra en el carril del 20% y se limita a 1 tirada con máximo 4 propuestas</t>
        </is>
      </c>
      <c r="C29" s="4" t="inlineStr">
        <is>
          <t>Aplicación de la regla 8 de CLAUDE.md a una petición del propio CEO</t>
        </is>
      </c>
    </row>
    <row r="30">
      <c r="A30" s="4" t="inlineStr">
        <is>
          <t>2026-08-01</t>
        </is>
      </c>
      <c r="B30" s="4" t="inlineStr">
        <is>
          <t>01.02.03 amplía alcance: además del catálogo, fuentes oficiales de Anthropic y mecanismos nativos de Claude Code</t>
        </is>
      </c>
      <c r="C30" s="4" t="inlineStr">
        <is>
          <t>Petición del CEO. El catálogo por sí solo dejaba fuera lo que ya está instalado y sin usar</t>
        </is>
      </c>
    </row>
    <row r="31">
      <c r="A31" s="4" t="inlineStr">
        <is>
          <t>2026-08-01</t>
        </is>
      </c>
      <c r="B31" s="4" t="inlineStr">
        <is>
          <t>Se añade 01.02.04: evaluar MCP con veredicto por servidor y regla de admisión escrita</t>
        </is>
      </c>
      <c r="C31" s="4" t="inlineStr">
        <is>
          <t>Petición del CEO; no estaba medido en el WBS</t>
        </is>
      </c>
    </row>
    <row r="32">
      <c r="A32" s="4" t="inlineStr">
        <is>
          <t>2026-08-01</t>
        </is>
      </c>
      <c r="B32" s="4" t="inlineStr">
        <is>
          <t>Se añade 03.01.12: estrategia de ramas, con el criterio del CEO «agilidad, no complejidad»</t>
        </is>
      </c>
      <c r="C32" s="4" t="inlineStr">
        <is>
          <t>Petición del CEO. Hoy todo va en main sin norma escrita</t>
        </is>
      </c>
    </row>
    <row r="33">
      <c r="A33" s="4" t="inlineStr">
        <is>
          <t>2026-08-01</t>
        </is>
      </c>
      <c r="B33" s="4" t="inlineStr">
        <is>
          <t>El orquestador NO se convierte en subagente que lo haga todo: sigue en la sesión principal</t>
        </is>
      </c>
      <c r="C33" s="4" t="inlineStr">
        <is>
          <t>Comprobado por lectura: ningún agente de .claude/agents/ lleva la herramienta Agent en tools, así que un orquestador subagente no puede repartir. Y meter la revisión dentro del subagente degradaría la prueba al nivel 3 de la regla 9 de CLAUDE.md (consenso entre agentes), que es el más débil</t>
        </is>
      </c>
    </row>
    <row r="34">
      <c r="A34" s="4" t="inlineStr">
        <is>
          <t>2026-08-03</t>
        </is>
      </c>
      <c r="B34" s="4" t="inlineStr">
        <is>
          <t>Techo del 20% de motor (regla 8 de CLAUDE.md) suspendido hasta 03.01.05 hecha o 01/09/2026</t>
        </is>
      </c>
      <c r="C34" s="4" t="inlineStr">
        <is>
          <t>CEO ordenó motor antes que producto, incumpliendo regla 8; se suspende con condición de vuelta automática</t>
        </is>
      </c>
    </row>
    <row r="35">
      <c r="A35" s="4" t="inlineStr">
        <is>
          <t>2026-08-03</t>
        </is>
      </c>
      <c r="B35" s="4" t="inlineStr">
        <is>
          <t>El lunes deja de ser la única ventana de decisión del CEO; lo que esté listo sube el día que lo esté, SIN tope de número; el CEO marca el final del día</t>
        </is>
      </c>
      <c r="C35" s="4" t="inlineStr">
        <is>
          <t>D-18: D-13 ya lo decía pero no se propagó; calendario recalculado sin esperar lunes</t>
        </is>
      </c>
    </row>
    <row r="36">
      <c r="A36" s="4" t="inlineStr">
        <is>
          <t>2026-08-03</t>
        </is>
      </c>
      <c r="B36" s="4" t="inlineStr">
        <is>
          <t>PUERTA G1: un solo mercado, XAUUSD (oro al contado), vela de 4h. DEROGA D-2</t>
        </is>
      </c>
      <c r="C36" s="4" t="inlineStr">
        <is>
          <t>D-19: foco en una cosa hasta probar que una hipótesis gana dinero; el oro está en las 4 cestas admisibles y es el más barato de los 8</t>
        </is>
      </c>
    </row>
    <row r="37">
      <c r="A37" s="4" t="inlineStr">
        <is>
          <t>2026-08-03</t>
        </is>
      </c>
      <c r="B37" s="4" t="inlineStr">
        <is>
          <t>Auditorías del ecosistema cerradas; su valor son las ideas construibles aquí, no las piezas instalables</t>
        </is>
      </c>
      <c r="C37" s="4" t="inlineStr">
        <is>
          <t>D-20: el criterio de admisión usado descartaba por barato justo lo que el proyecto puede construir</t>
        </is>
      </c>
    </row>
    <row r="38">
      <c r="A38" s="4" t="inlineStr">
        <is>
          <t>2026-08-03</t>
        </is>
      </c>
      <c r="B38" s="4" t="inlineStr">
        <is>
          <t>Se elimina el trasplante desde gb2 (tarea 01.02.02 y su sección). Lo que haga falta se construye desde cero. DEROGA parcialmente D-6</t>
        </is>
      </c>
      <c r="C38" s="4" t="inlineStr">
        <is>
          <t>D-21: orden del CEO; comprobado pieza a pieza que no se pierde nada vivo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9" customWidth="1" min="1" max="1"/>
    <col width="100" customWidth="1" min="2" max="2"/>
    <col width="26" customWidth="1" min="3" max="3"/>
  </cols>
  <sheetData>
    <row r="1" ht="24" customHeight="1">
      <c r="A1" s="1" t="inlineStr">
        <is>
          <t>LECCIONES APRENDIDAS</t>
        </is>
      </c>
      <c r="B1" s="2" t="n"/>
      <c r="C1" s="2" t="n"/>
    </row>
    <row r="3" ht="28" customHeight="1">
      <c r="A3" s="3" t="inlineStr">
        <is>
          <t>ID</t>
        </is>
      </c>
      <c r="B3" s="3" t="inlineStr">
        <is>
          <t>Lección</t>
        </is>
      </c>
      <c r="C3" s="3" t="inlineStr">
        <is>
          <t>Origen</t>
        </is>
      </c>
    </row>
    <row r="4">
      <c r="A4" s="4" t="inlineStr">
        <is>
          <t>L-001</t>
        </is>
      </c>
      <c r="B4" s="4" t="inlineStr">
        <is>
          <t>Si un dato se puede calcular a partir de datos brutos disponibles, se calcula. Buscar el dato ya masticado pierde tiempo y devuelve fuentes flojas</t>
        </is>
      </c>
      <c r="C4" s="4" t="inlineStr">
        <is>
          <t>Revisión 02.03.01</t>
        </is>
      </c>
    </row>
    <row r="5">
      <c r="A5" s="4" t="inlineStr">
        <is>
          <t>L-002</t>
        </is>
      </c>
      <c r="B5" s="4" t="inlineStr">
        <is>
          <t>Toda conversión de unidades se aplica en la tabla final, no solo se explica en una nota al pie</t>
        </is>
      </c>
      <c r="C5" s="4" t="inlineStr">
        <is>
          <t>Revisión 02.03.01</t>
        </is>
      </c>
    </row>
    <row r="6">
      <c r="A6" s="4" t="inlineStr">
        <is>
          <t>L-003</t>
        </is>
      </c>
      <c r="B6" s="4" t="inlineStr">
        <is>
          <t>Medir el coste de entrar y salir sin medir el de mantener da una foto incompleta</t>
        </is>
      </c>
      <c r="C6" s="4" t="inlineStr">
        <is>
          <t>Revisión 02.03.01</t>
        </is>
      </c>
    </row>
    <row r="7">
      <c r="A7" s="4" t="inlineStr">
        <is>
          <t>L-004</t>
        </is>
      </c>
      <c r="B7" s="4" t="inlineStr">
        <is>
          <t>Los valores absolutos no se comparan entre activos distintos: se normalizan antes</t>
        </is>
      </c>
      <c r="C7" s="4" t="inlineStr">
        <is>
          <t>Revisión 02.03.01</t>
        </is>
      </c>
    </row>
    <row r="8">
      <c r="A8" s="4" t="inlineStr">
        <is>
          <t>L-005</t>
        </is>
      </c>
      <c r="B8" s="4" t="inlineStr">
        <is>
          <t>El modelo no aprende: acumula notas escritas. Si nadie escribe bien las notas, no mejora nada</t>
        </is>
      </c>
      <c r="C8" s="4" t="inlineStr">
        <is>
          <t>Análisis del vídeo, 29/07</t>
        </is>
      </c>
    </row>
    <row r="9">
      <c r="A9" s="4" t="inlineStr">
        <is>
          <t>L-006</t>
        </is>
      </c>
      <c r="B9" s="4" t="inlineStr">
        <is>
          <t>Si dos fuentes usan convenciones distintas (yen y franco invertidos), sus números tienen el signo cambiado. Verificar la convención antes de comparar</t>
        </is>
      </c>
      <c r="C9" s="4" t="inlineStr">
        <is>
          <t>Revisión Brief B</t>
        </is>
      </c>
    </row>
    <row r="10">
      <c r="A10" s="4" t="inlineStr">
        <is>
          <t>L-007</t>
        </is>
      </c>
      <c r="B10" s="4" t="inlineStr">
        <is>
          <t>Un nombre parecido no es el mismo instrumento: oro al contado ≠ futuro de oro; bitcoin contra Tether ≠ contra dólar</t>
        </is>
      </c>
      <c r="C10" s="4" t="inlineStr">
        <is>
          <t>Revisión Brief B</t>
        </is>
      </c>
    </row>
    <row r="11">
      <c r="A11" s="4" t="inlineStr">
        <is>
          <t>L-008</t>
        </is>
      </c>
      <c r="B11" s="4" t="inlineStr">
        <is>
          <t>Un umbral sobre una magnitud inestable necesita varias ventanas, no una</t>
        </is>
      </c>
      <c r="C11" s="4" t="inlineStr">
        <is>
          <t>Revisión Brief B</t>
        </is>
      </c>
    </row>
    <row r="12">
      <c r="A12" s="4" t="inlineStr">
        <is>
          <t>L-009</t>
        </is>
      </c>
      <c r="B12" s="4" t="inlineStr">
        <is>
          <t>Un guardia verificado por presencia y no por ejecución da falsa seguridad, que es peor que no tenerlo</t>
        </is>
      </c>
      <c r="C12" s="4" t="inlineStr">
        <is>
          <t>Auditoría gb2</t>
        </is>
      </c>
    </row>
    <row r="13">
      <c r="A13" s="4" t="inlineStr">
        <is>
          <t>L-010</t>
        </is>
      </c>
      <c r="B13" s="4" t="inlineStr">
        <is>
          <t>Los agentes no se activan solos porque tengan buena descripción: se activan si la cola contiene tareas de su tipo y el reparto enruta por tipo</t>
        </is>
      </c>
      <c r="C13" s="4" t="inlineStr">
        <is>
          <t>Auditoría gb2</t>
        </is>
      </c>
    </row>
    <row r="14">
      <c r="A14" s="4" t="inlineStr">
        <is>
          <t>L-011</t>
        </is>
      </c>
      <c r="B14" s="4" t="inlineStr">
        <is>
          <t>Tener una cola estricta no impide la deriva. gb2 la tenía ("trabajo que no está ahí no se ejecuta"), con IDs contiguos forzados por un hook, y aun así el 70% del esfuerzo se fue al motor. La cola controla QUÉ se ejecuta, no QUÉ se mete en la cola</t>
        </is>
      </c>
      <c r="C14" s="4" t="inlineStr">
        <is>
          <t>Auditoría gb2</t>
        </is>
      </c>
    </row>
    <row r="15">
      <c r="A15" s="4" t="inlineStr">
        <is>
          <t>L-012</t>
        </is>
      </c>
      <c r="B15" s="4" t="inlineStr">
        <is>
          <t>Dos agentes de acuerdo no son una prueba. En gb2 hubo tres diagnósticos seguidos del mismo componente, dos falsos; lo que los corrigió fue leer el código y reproducir el fallo, no debatir más</t>
        </is>
      </c>
      <c r="C15" s="4" t="inlineStr">
        <is>
          <t>Auditoría gb2</t>
        </is>
      </c>
    </row>
    <row r="16">
      <c r="A16" s="4" t="inlineStr">
        <is>
          <t>L-013</t>
        </is>
      </c>
      <c r="B16" s="4" t="inlineStr">
        <is>
          <t>Se trabajó una tarea sin ficha escrita antes: 01.01.02 era una fila de una línea sin alcance ni criterio de hecho, y el trabajo de apoyo se autoasignó alcance dentro de ella. La regla 5 de CLAUDE.md vale también para las tareas del CEO</t>
        </is>
      </c>
      <c r="C16" s="4" t="inlineStr">
        <is>
          <t>Revisión del cálculo de arrastre (01.01.02) por critico-codigo, 01/08</t>
        </is>
      </c>
    </row>
    <row r="17">
      <c r="A17" s="4" t="inlineStr">
        <is>
          <t>L-014</t>
        </is>
      </c>
      <c r="B17" s="4" t="inlineStr">
        <is>
          <t>Un supuesto expresado en porcentaje decidió el orden de magnitud sin declararse: fijar la actividad como porcentaje de velas operadas producía un multiplicador de coste x60-x69 entre velas que en valor absoluto cae a x4,3; la conclusión "1h es inviable" era un artefacto del supuesto</t>
        </is>
      </c>
      <c r="C17" s="4" t="inlineStr">
        <is>
          <t>Revisión de arrastre_coste.md, hallado por critico-codigo y confirmado con experimento ejecutado por validador, 01/08</t>
        </is>
      </c>
    </row>
    <row r="18">
      <c r="A18" s="4" t="inlineStr">
        <is>
          <t>L-015</t>
        </is>
      </c>
      <c r="B18" s="4" t="inlineStr">
        <is>
          <t>CLAUDE.md y este WBS llevan dos listas de «29 reglas» con contenido distinto bajo el mismo número: toda cita regla N es ambigua. Resuelto el 01/08/2026 por D-16: la lista normativa es la de CLAUDE.md; toda cita se escribe «regla N de CLAUDE.md»</t>
        </is>
      </c>
      <c r="C18" s="4" t="inlineStr">
        <is>
          <t>Revisión 01.02.03</t>
        </is>
      </c>
    </row>
    <row r="19">
      <c r="A19" s="4" t="inlineStr">
        <is>
          <t>L-016</t>
        </is>
      </c>
      <c r="B19" s="4" t="inlineStr">
        <is>
          <t>Un indicador que solo mira lo etiquetado es ciego justo donde importa: medir el reparto producto/motor contando solo commits con código WBS daba 20% cuando el real es 43,8%, porque commit-msg exime a meta:, org: y arranque:, que es donde vive el motor</t>
        </is>
      </c>
      <c r="C19" s="4" t="inlineStr">
        <is>
          <t>Revisión 01.02.03</t>
        </is>
      </c>
    </row>
    <row r="20">
      <c r="A20" s="4" t="inlineStr">
        <is>
          <t>L-017</t>
        </is>
      </c>
      <c r="B20" s="4" t="inlineStr">
        <is>
          <t>L-015 citaba mal su propia regla de grep: decía "la regla 20 de CLAUDE.md exige grep previo" cuando esa exigencia es la regla 12 de CLAUDE.md (la 20 es "se guardan todas las pruebas"). LECCIONES.md es de solo-añadir, así que no se corrige en su sitio, se anota aparte</t>
        </is>
      </c>
      <c r="C20" s="4" t="inlineStr">
        <is>
          <t>Tarea 03.01.13, pasada 1 (constructor-motor), 01/08</t>
        </is>
      </c>
    </row>
    <row r="21">
      <c r="A21" s="4" t="inlineStr">
        <is>
          <t>L-018</t>
        </is>
      </c>
      <c r="B21" s="4" t="inlineStr">
        <is>
          <t>Un recuento sin -i da cifras bajas aunque lo repitan dos agentes: quien ejecutó y quien revisó grepearon "regla" en minúscula y los dos dieron la misma cifra baja (5/3/36 en vez de 12/4/39), porque el error estaba en el método de los dos, no en el dato</t>
        </is>
      </c>
      <c r="C21" s="4" t="inlineStr">
        <is>
          <t>Tarea 03.01.13, pasada 2 (constructor-motor, ordenada tras el rechazo de la pasada 1), 01/08</t>
        </is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0" customWidth="1" min="1" max="1"/>
    <col width="96" customWidth="1" min="2" max="2"/>
  </cols>
  <sheetData>
    <row r="1" ht="24" customHeight="1">
      <c r="A1" s="1" t="inlineStr">
        <is>
          <t>AUTONOMIA — que llega al CEO y que no</t>
        </is>
      </c>
      <c r="B1" s="2" t="n"/>
    </row>
    <row r="3" ht="28" customHeight="1">
      <c r="A3" s="3" t="inlineStr">
        <is>
          <t>CUANDO</t>
        </is>
      </c>
      <c r="B3" s="3" t="inlineStr">
        <is>
          <t>QUE PASA</t>
        </is>
      </c>
    </row>
    <row r="4">
      <c r="A4" s="40" t="inlineStr">
        <is>
          <t>Lo cierra el equipo, sin consultar</t>
        </is>
      </c>
      <c r="B4" s="4" t="inlineStr">
        <is>
          <t>cerrar tareas que cumplen su criterio
· orden de tareas ya aprobadas
· subtareas dentro de alcance
· descartar hipótesis o variantes que no pasan el filtro
· reescribir tareas ambiguas
· mover, corregir o borrar archivos para mantener el orden (git deshace).</t>
        </is>
      </c>
    </row>
    <row r="5">
      <c r="A5" s="40" t="inlineStr">
        <is>
          <t>Llega al CEO, en el informe semanal</t>
        </is>
      </c>
      <c r="B5" s="4" t="inlineStr">
        <is>
          <t>mejoras del motor no previstas (sin aprobación, no se hacen)
· tareas nuevas de primer nivel.</t>
        </is>
      </c>
    </row>
    <row r="6">
      <c r="A6" s="40" t="inlineStr">
        <is>
          <t>Llega al CEO como excepción inmediata (se para hasta respuesta)</t>
        </is>
      </c>
      <c r="B6" s="4" t="inlineStr">
        <is>
          <t>gasto nuevo (datos de pago, VPS, broker, créditos extra)
· cualquier cosa con dinero real
· bloqueo de más de 24 h
· 3 vueltas del bucle de hipótesis sin éxito.</t>
        </is>
      </c>
    </row>
    <row r="7">
      <c r="A7" s="40" t="inlineStr">
        <is>
          <t>Llega al CEO solo en una puerta</t>
        </is>
      </c>
      <c r="B7" s="4" t="inlineStr">
        <is>
          <t>cambiar de mercado, de tamaño de vela o de planteamiento.</t>
        </is>
      </c>
    </row>
    <row r="9">
      <c r="A9" s="15" t="inlineStr">
        <is>
          <t>FORMATO OBLIGATORIO DE FICHA DE DECISION (regla 10)</t>
        </is>
      </c>
    </row>
    <row r="10" ht="100" customHeight="1">
      <c r="A10" s="35" t="inlineStr">
        <is>
          <t>D[n] — [Qué se decide, una línea]
A) [opción]   B) [opción]   C) [opción]
RECOMENDADA: [letra] — [motivo en una línea]
SI ELIGES OTRA: [consecuencia de cada una, una línea]
BLOQUEA: [qué tareas no pueden avanzar hasta que respondas]
RESPUESTA: [una letra]</t>
        </is>
      </c>
    </row>
  </sheetData>
  <mergeCells count="2">
    <mergeCell ref="A10:B10"/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 ht="24" customHeight="1">
      <c r="A1" s="1" t="inlineStr">
        <is>
          <t>LIMITES DEL CEO</t>
        </is>
      </c>
    </row>
    <row r="4" ht="34" customHeight="1">
      <c r="A4" s="4" t="inlineStr">
        <is>
          <t>Horizonte: 1 mes. Evaluación el 1 de septiembre (puerta GM). (D-5)</t>
        </is>
      </c>
    </row>
    <row r="5" ht="34" customHeight="1">
      <c r="A5" s="4" t="inlineStr">
        <is>
          <t>FECHA TOPE: 01/12/2026 (D-12). Si a esa fecha no hay ninguna estrategia en demo, el proyecto se cierra y se escribe el informe de por qué. Antes del 01/08/2026 no existía ninguna fecha de parada.</t>
        </is>
      </c>
    </row>
    <row r="6" ht="34" customHeight="1">
      <c r="A6" s="4" t="inlineStr">
        <is>
          <t>Revisión de avance el día 1 de cada mes (D-12): 01/09 (= GM), 01/10 y 01/11. Cada una puede PARAR el proyecto. Pregunta fija: «¿avanza por buen camino?».</t>
        </is>
      </c>
    </row>
    <row r="7" ht="34" customHeight="1">
      <c r="A7" s="4" t="inlineStr">
        <is>
          <t>Tiempo del CEO: 1 hora los lunes, como MÍNIMO GARANTIZADO, no como techo (D-4 + D-13 + D-18). Lo que esté listo le llega el día que esté listo, sin tope de número; el CEO marca el final del día cuando no puede seguir, lo que quede acumula al día siguiente. Máximo 5 fichas de decisión en el checkpoint del lunes; si hay más, el orquestador prioriza y las sobrantes esperan al lunes siguiente. Lo que protege es que cada ficha llegue en formato obligatorio (sección «Qué llega al CEO y qué no» de CLAUDE.md): masticada, opciones cerradas, recomendada con motivo, respuesta de una letra. El CEO sigue el proyecto a diario, lo que NO amplía lo que se le puede preguntar.</t>
        </is>
      </c>
    </row>
    <row r="8" ht="34" customHeight="1">
      <c r="A8" s="4" t="inlineStr">
        <is>
          <t>Dinero real (D-14): capital 1.000-2.000 € (ya es entrada de G1-C6, D-11; cambiarlo obliga a re-verificar G1-C6). AVISO a -25% del capital inicial ingresado, que no para nada: se reporta y decide el CEO. PARADA DURA AUTOMÁTICA a -30% del capital inicial, aplicada por el bot de forma CONTINUA y sin exención activable desde dentro (regla 26 de CLAUDE.md). Se mide sobre el capital inicial ingresado, no sobre el máximo alcanzado. Recuperar desde -30% exige +43%.</t>
        </is>
      </c>
    </row>
    <row r="9" ht="34" customHeight="1">
      <c r="A9" s="4" t="inlineStr">
        <is>
          <t>Techo del 20% de motor (regla 8 de CLAUDE.md) SUSPENDIDO (D-17): El 03/08/2026 el techo de motor quedó SUSPENDIDO hasta que 03.01.05 esté hecha O llegue el 01/09/2026, lo que ocurra PRIMERO. Mientras esté en vigor la suspensión, el equipo puede dedicar más del 20% a motor en una tirada si es necesario para desbloquear producto. La regla 8 no se elimina; se suspende con disparador que impone el sistema (regla 26 de CLAUDE.md).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2026-08-03T20:44:05Z</dcterms:created>
  <dcterms:modified xsi:type="dcterms:W3CDTF">2026-08-03T20:44:05Z</dcterms:modified>
</cp:coreProperties>
</file>